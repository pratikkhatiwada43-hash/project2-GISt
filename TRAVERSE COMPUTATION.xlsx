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4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<sst xmlns="http://schemas.openxmlformats.org/spreadsheetml/2006/main" count="47" uniqueCount="44">
  <si>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 xml:space="preserve">Station </t>
  </si>
  <si>
    <t xml:space="preserve">Measured angle </t>
  </si>
  <si>
    <t xml:space="preserve">Correction </t>
  </si>
  <si>
    <t>Corrected angle</t>
  </si>
  <si>
    <t>Line</t>
  </si>
  <si>
    <t>Bearing</t>
  </si>
  <si>
    <t>Distance</t>
  </si>
  <si>
    <t xml:space="preserve">                              latitude</t>
  </si>
  <si>
    <t>Delta N</t>
  </si>
  <si>
    <t xml:space="preserve">                </t>
  </si>
  <si>
    <t xml:space="preserve">                         departure</t>
  </si>
  <si>
    <t>delta E</t>
  </si>
  <si>
    <t>Easting</t>
  </si>
  <si>
    <t>Northing</t>
  </si>
  <si>
    <t xml:space="preserve">Zenithal Angles </t>
  </si>
  <si>
    <t>Ins. Height</t>
  </si>
  <si>
    <t>Target Height</t>
  </si>
  <si>
    <t>del H</t>
  </si>
  <si>
    <t>Corr.</t>
  </si>
  <si>
    <t>Corrected (m)</t>
  </si>
  <si>
    <t>d</t>
  </si>
  <si>
    <t>s</t>
  </si>
  <si>
    <t>Calculated</t>
  </si>
  <si>
    <t>Correction</t>
  </si>
  <si>
    <t>Corrected</t>
  </si>
  <si>
    <t>corrected</t>
  </si>
  <si>
    <t>1001-1002</t>
  </si>
  <si>
    <t>1002-1003</t>
  </si>
  <si>
    <t>1003-1004</t>
  </si>
  <si>
    <t>1004-1005</t>
  </si>
  <si>
    <t>1005-1006</t>
  </si>
  <si>
    <t>2006-2007</t>
  </si>
  <si>
    <t>2007-2001</t>
  </si>
  <si>
    <t>Sum</t>
  </si>
  <si>
    <t>Closing error =</t>
  </si>
  <si>
    <t>Accuracy       = 1:</t>
  </si>
  <si>
    <t xml:space="preserve">Horizontal Angles </t>
  </si>
  <si>
    <t>Zenithal Angles</t>
  </si>
  <si>
    <t xml:space="preserve">Degree </t>
  </si>
  <si>
    <t>Minutes</t>
  </si>
  <si>
    <t>Sec</t>
  </si>
  <si>
    <t>Degree</t>
  </si>
  <si>
    <t>min</t>
  </si>
  <si>
    <t>sec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</si>
</sst>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0.000"/>
    <numFmt numFmtId="180" formatCode="0.000000000"/>
  </numFmts>
  <fonts count="3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sz val="14"/>
      <color theme="0"/>
      <name val="Calibri"/>
      <charset val="134"/>
      <scheme val="minor"/>
    </font>
    <font>
      <sz val="12"/>
      <color rgb="FFC00000"/>
      <name val="Calibri"/>
      <charset val="134"/>
      <scheme val="minor"/>
    </font>
    <font>
      <sz val="12"/>
      <name val="Calibri"/>
      <charset val="134"/>
      <scheme val="minor"/>
    </font>
    <font>
      <sz val="11"/>
      <color theme="0" tint="-0.05"/>
      <name val="Calibri"/>
      <charset val="134"/>
      <scheme val="minor"/>
    </font>
    <font>
      <sz val="11"/>
      <color theme="0" tint="-0.05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178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/>
    <xf numFmtId="0" fontId="3" fillId="2" borderId="0" xfId="0" applyFont="1" applyFill="1"/>
    <xf numFmtId="179" fontId="0" fillId="0" borderId="0" xfId="0" applyNumberFormat="1"/>
    <xf numFmtId="0" fontId="4" fillId="0" borderId="0" xfId="0" applyFont="1"/>
    <xf numFmtId="179" fontId="5" fillId="0" borderId="0" xfId="0" applyNumberFormat="1" applyFont="1"/>
    <xf numFmtId="179" fontId="0" fillId="3" borderId="0" xfId="0" applyNumberFormat="1" applyFill="1"/>
    <xf numFmtId="179" fontId="4" fillId="0" borderId="0" xfId="0" applyNumberFormat="1" applyFont="1"/>
    <xf numFmtId="180" fontId="0" fillId="0" borderId="0" xfId="0" applyNumberFormat="1"/>
    <xf numFmtId="0" fontId="6" fillId="3" borderId="0" xfId="0" applyFont="1" applyFill="1"/>
    <xf numFmtId="0" fontId="7" fillId="3" borderId="0" xfId="0" applyFont="1" applyFill="1" applyAlignment="1"/>
    <xf numFmtId="0" fontId="8" fillId="0" borderId="0" xfId="0" applyFont="1"/>
    <xf numFmtId="0" fontId="9" fillId="4" borderId="0" xfId="0" applyFont="1" applyFill="1"/>
    <xf numFmtId="0" fontId="10" fillId="4" borderId="0" xfId="0" applyFont="1" applyFill="1" applyAlignment="1"/>
    <xf numFmtId="0" fontId="11" fillId="0" borderId="0" xfId="0" applyFont="1" applyFill="1" applyAlignment="1"/>
    <xf numFmtId="0" fontId="0" fillId="4" borderId="0" xfId="0" applyFill="1"/>
    <xf numFmtId="0" fontId="11" fillId="4" borderId="0" xfId="0" applyFont="1" applyFill="1" applyAlignment="1"/>
    <xf numFmtId="0" fontId="11" fillId="3" borderId="0" xfId="0" applyFont="1" applyFill="1" applyAlignment="1"/>
    <xf numFmtId="179" fontId="8" fillId="0" borderId="0" xfId="0" applyNumberFormat="1" applyFont="1"/>
    <xf numFmtId="0" fontId="11" fillId="5" borderId="0" xfId="0" applyFont="1" applyFill="1" applyAlignment="1"/>
    <xf numFmtId="0" fontId="11" fillId="6" borderId="0" xfId="0" applyFont="1" applyFill="1" applyAlignment="1"/>
    <xf numFmtId="0" fontId="11" fillId="7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A90B78DD-2B81-4556-8BD0-32B34E9A0526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tabSelected="1" zoomScale="56" zoomScaleNormal="56" workbookViewId="0">
      <selection activeCell="X18" sqref="X18"/>
    </sheetView>
  </sheetViews>
  <sheetFormatPr defaultColWidth="9" defaultRowHeight="14.4"/>
  <cols>
    <col min="2" max="2" width="20" customWidth="1"/>
    <col min="3" max="3" width="12" customWidth="1"/>
    <col min="4" max="4" width="19.4444444444444" customWidth="1"/>
    <col min="5" max="5" width="10.7777777777778" customWidth="1"/>
    <col min="6" max="7" width="14" customWidth="1"/>
    <col min="8" max="8" width="13.7777777777778" customWidth="1"/>
    <col min="9" max="9" width="14.6666666666667" customWidth="1"/>
    <col min="10" max="10" width="13.2222222222222" customWidth="1"/>
    <col min="11" max="11" width="12.6666666666667" customWidth="1"/>
    <col min="12" max="12" width="12" customWidth="1"/>
    <col min="13" max="14" width="12.6666666666667" customWidth="1"/>
    <col min="15" max="15" width="17" customWidth="1"/>
    <col min="16" max="16" width="17.3333333333333" customWidth="1"/>
    <col min="18" max="18" width="26.2222222222222" customWidth="1"/>
    <col min="19" max="19" width="15.4444444444444" customWidth="1"/>
    <col min="20" max="20" width="18" customWidth="1"/>
    <col min="21" max="21" width="9.22222222222222" customWidth="1"/>
    <col min="23" max="23" width="19.6666666666667" customWidth="1"/>
  </cols>
  <sheetData>
    <row r="1" ht="18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  <c r="P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ht="18" spans="1:16">
      <c r="A2" s="1"/>
      <c r="B2" s="1" t="s">
        <v>20</v>
      </c>
      <c r="C2" s="1" t="s">
        <v>21</v>
      </c>
      <c r="D2" s="1"/>
      <c r="E2" s="1"/>
      <c r="F2" s="1"/>
      <c r="G2" s="1"/>
      <c r="H2" s="1"/>
      <c r="I2" s="1" t="s">
        <v>22</v>
      </c>
      <c r="J2" s="1" t="s">
        <v>23</v>
      </c>
      <c r="K2" s="1" t="s">
        <v>24</v>
      </c>
      <c r="L2" s="1" t="s">
        <v>22</v>
      </c>
      <c r="M2" s="1" t="s">
        <v>23</v>
      </c>
      <c r="N2" s="1" t="s">
        <v>25</v>
      </c>
      <c r="O2" s="5"/>
      <c r="P2" s="6"/>
    </row>
    <row r="3" ht="15.6" spans="1:23">
      <c r="A3">
        <v>1001</v>
      </c>
      <c r="B3">
        <f>C24+D24/60+E24/(60*60)</f>
        <v>248.359722222222</v>
      </c>
      <c r="C3" s="2">
        <f>(1620-$B$12)/7</f>
        <v>-0.00222222222217689</v>
      </c>
      <c r="D3" s="2">
        <f>B3+C3</f>
        <v>248.3575</v>
      </c>
      <c r="E3" t="s">
        <v>26</v>
      </c>
      <c r="F3">
        <v>109.8427</v>
      </c>
      <c r="G3">
        <f>IF(F3&gt;400,F3-400,F3)</f>
        <v>109.8427</v>
      </c>
      <c r="H3">
        <v>79.733</v>
      </c>
      <c r="I3" s="7">
        <f>H3*COS(F3*3.141592/180)</f>
        <v>-27.0644616891199</v>
      </c>
      <c r="J3" s="7">
        <f t="shared" ref="J3:J9" si="0">-H3*$I$12/$H$12</f>
        <v>-0.00738304102990151</v>
      </c>
      <c r="K3" s="7">
        <f>I3+J3</f>
        <v>-27.0718447301498</v>
      </c>
      <c r="L3" s="7">
        <f>H3*SIN(F3*3.141592/180)</f>
        <v>74.9991080112168</v>
      </c>
      <c r="M3" s="7">
        <f t="shared" ref="M3:M9" si="1">-H3*$L$12/$H$12</f>
        <v>-0.00218969740504387</v>
      </c>
      <c r="N3" s="7">
        <f>L3+M3</f>
        <v>74.9969183138117</v>
      </c>
      <c r="O3" s="8">
        <v>355751.956</v>
      </c>
      <c r="P3" s="8">
        <v>3055807.429</v>
      </c>
      <c r="R3" s="12">
        <f>R24+S24/60+T24/(60*60)</f>
        <v>90.3066666666667</v>
      </c>
      <c r="S3" s="13">
        <v>1.41</v>
      </c>
      <c r="T3" s="14">
        <v>0.6</v>
      </c>
      <c r="U3" s="7">
        <f>H3/TAN(R3*3.141592/180)+S3-T3</f>
        <v>0.383263703062333</v>
      </c>
      <c r="V3" s="7">
        <f>-($U$12/7)</f>
        <v>0.101893793454037</v>
      </c>
      <c r="W3" s="15">
        <v>1519.236</v>
      </c>
    </row>
    <row r="4" ht="15.6" spans="1:23">
      <c r="A4">
        <v>1002</v>
      </c>
      <c r="B4">
        <f t="shared" ref="B4:B9" si="2">C25+D25/60+E25/(60*60)</f>
        <v>243.759444444444</v>
      </c>
      <c r="C4" s="2">
        <f>(1620-$B$12)/7</f>
        <v>-0.00222222222217689</v>
      </c>
      <c r="D4" s="2">
        <f>B4+C4</f>
        <v>243.757222222222</v>
      </c>
      <c r="E4" t="s">
        <v>27</v>
      </c>
      <c r="F4" s="2">
        <v>173.6</v>
      </c>
      <c r="G4" s="2">
        <f t="shared" ref="G4:G9" si="3">IF(F4&gt;400,F4-400,F4)</f>
        <v>173.6</v>
      </c>
      <c r="H4">
        <v>45.332</v>
      </c>
      <c r="I4" s="7">
        <f t="shared" ref="I4:I9" si="4">H4*COS(F4*3.141592/180)</f>
        <v>-45.0494841261463</v>
      </c>
      <c r="J4" s="7">
        <f t="shared" si="0"/>
        <v>-0.004197609722041</v>
      </c>
      <c r="K4" s="7">
        <f>I4+J4</f>
        <v>-45.0536817358683</v>
      </c>
      <c r="L4" s="7">
        <f t="shared" ref="L4:L9" si="5">H4*SIN(F4*3.141592/180)</f>
        <v>5.05313803176754</v>
      </c>
      <c r="M4" s="7">
        <f t="shared" si="1"/>
        <v>-0.0012449470453319</v>
      </c>
      <c r="N4" s="7">
        <f>L4+M4</f>
        <v>5.05189308472221</v>
      </c>
      <c r="O4" s="9">
        <f t="shared" ref="O4:O10" si="6">O3+N3</f>
        <v>355826.952918314</v>
      </c>
      <c r="P4" s="9">
        <f t="shared" ref="P4:P10" si="7">P3+K3</f>
        <v>3055780.35715527</v>
      </c>
      <c r="R4" s="12">
        <f t="shared" ref="R4:R9" si="8">R25+S25/60+T25/(60*60)</f>
        <v>95.3963888888889</v>
      </c>
      <c r="S4" s="16">
        <v>1.42</v>
      </c>
      <c r="T4" s="17">
        <v>0.8</v>
      </c>
      <c r="U4" s="7">
        <f t="shared" ref="U4:U9" si="9">H4/TAN(R4*3.141592/180)+S4-T4</f>
        <v>-3.66223720343691</v>
      </c>
      <c r="V4" s="7">
        <f t="shared" ref="V4:V9" si="10">-($U$12/7)</f>
        <v>0.101893793454037</v>
      </c>
      <c r="W4" s="7">
        <f>W3+U3+V3</f>
        <v>1519.72115749652</v>
      </c>
    </row>
    <row r="5" ht="15.6" spans="1:23">
      <c r="A5">
        <v>1003</v>
      </c>
      <c r="B5">
        <f t="shared" si="2"/>
        <v>252.306944444444</v>
      </c>
      <c r="C5" s="2">
        <f t="shared" ref="C5:C9" si="11">(1620-$B$12)/7</f>
        <v>-0.00222222222217689</v>
      </c>
      <c r="D5" s="2">
        <f t="shared" ref="D5:D10" si="12">B5+C5</f>
        <v>252.304722222222</v>
      </c>
      <c r="E5" t="s">
        <v>28</v>
      </c>
      <c r="F5" s="2">
        <v>245.9047</v>
      </c>
      <c r="G5" s="2">
        <f t="shared" si="3"/>
        <v>245.9047</v>
      </c>
      <c r="H5">
        <v>41.034</v>
      </c>
      <c r="I5" s="7">
        <f t="shared" si="4"/>
        <v>-16.7523928664692</v>
      </c>
      <c r="J5" s="7">
        <f t="shared" si="0"/>
        <v>-0.00379962757730148</v>
      </c>
      <c r="K5" s="7">
        <f t="shared" ref="K5:K9" si="13">I5+J5</f>
        <v>-16.7561924940465</v>
      </c>
      <c r="L5" s="7">
        <f t="shared" si="5"/>
        <v>-37.4585970005214</v>
      </c>
      <c r="M5" s="7">
        <f t="shared" si="1"/>
        <v>-0.00112691160897709</v>
      </c>
      <c r="N5" s="7">
        <f t="shared" ref="N5:N9" si="14">L5+M5</f>
        <v>-37.4597239121304</v>
      </c>
      <c r="O5" s="9">
        <f t="shared" si="6"/>
        <v>355832.004811399</v>
      </c>
      <c r="P5" s="9">
        <f t="shared" si="7"/>
        <v>3055735.30347353</v>
      </c>
      <c r="R5" s="12">
        <f t="shared" si="8"/>
        <v>95.7175</v>
      </c>
      <c r="S5">
        <v>1.38</v>
      </c>
      <c r="T5" s="18">
        <v>0.4</v>
      </c>
      <c r="U5" s="7">
        <f t="shared" si="9"/>
        <v>-3.12838166692594</v>
      </c>
      <c r="V5" s="7">
        <f t="shared" si="10"/>
        <v>0.101893793454037</v>
      </c>
      <c r="W5" s="7">
        <f t="shared" ref="W5:W10" si="15">W4+U4+V4</f>
        <v>1516.16081408653</v>
      </c>
    </row>
    <row r="6" ht="15.6" spans="1:23">
      <c r="A6">
        <v>1004</v>
      </c>
      <c r="B6">
        <f t="shared" si="2"/>
        <v>224.991666666667</v>
      </c>
      <c r="C6" s="2">
        <f t="shared" si="11"/>
        <v>-0.00222222222217689</v>
      </c>
      <c r="D6" s="2">
        <f t="shared" si="12"/>
        <v>224.989444444444</v>
      </c>
      <c r="E6" t="s">
        <v>29</v>
      </c>
      <c r="F6" s="2">
        <v>290.8941</v>
      </c>
      <c r="G6" s="2">
        <f t="shared" si="3"/>
        <v>290.8941</v>
      </c>
      <c r="H6">
        <v>36.326</v>
      </c>
      <c r="I6" s="7">
        <f t="shared" si="4"/>
        <v>12.9553341172561</v>
      </c>
      <c r="J6" s="7">
        <f t="shared" si="0"/>
        <v>-0.00336368063978782</v>
      </c>
      <c r="K6" s="7">
        <f t="shared" si="13"/>
        <v>12.9519704366163</v>
      </c>
      <c r="L6" s="7">
        <f t="shared" si="5"/>
        <v>-33.9372596700184</v>
      </c>
      <c r="M6" s="7">
        <f t="shared" si="1"/>
        <v>-0.00099761639390997</v>
      </c>
      <c r="N6" s="7">
        <f t="shared" si="14"/>
        <v>-33.9382572864123</v>
      </c>
      <c r="O6" s="9">
        <f t="shared" si="6"/>
        <v>355794.545087486</v>
      </c>
      <c r="P6" s="9">
        <f t="shared" si="7"/>
        <v>3055718.54728104</v>
      </c>
      <c r="R6" s="12">
        <f t="shared" si="8"/>
        <v>102.675277777778</v>
      </c>
      <c r="S6" s="19">
        <v>1.41</v>
      </c>
      <c r="T6" s="20">
        <v>0.8</v>
      </c>
      <c r="U6" s="7">
        <f t="shared" si="9"/>
        <v>-7.55993489857045</v>
      </c>
      <c r="V6" s="7">
        <f t="shared" si="10"/>
        <v>0.101893793454037</v>
      </c>
      <c r="W6" s="7">
        <f t="shared" si="15"/>
        <v>1513.13432621306</v>
      </c>
    </row>
    <row r="7" ht="15.6" spans="1:23">
      <c r="A7">
        <v>1005</v>
      </c>
      <c r="B7">
        <f t="shared" si="2"/>
        <v>144.488611111111</v>
      </c>
      <c r="C7" s="2">
        <f t="shared" si="11"/>
        <v>-0.00222222222217689</v>
      </c>
      <c r="D7" s="2">
        <f t="shared" si="12"/>
        <v>144.486388888889</v>
      </c>
      <c r="E7" t="s">
        <v>30</v>
      </c>
      <c r="F7" s="2">
        <f t="shared" ref="F5:F8" si="16">F6+D7-180</f>
        <v>255.380488888889</v>
      </c>
      <c r="G7" s="2">
        <f t="shared" si="3"/>
        <v>255.380488888889</v>
      </c>
      <c r="H7">
        <v>54.776</v>
      </c>
      <c r="I7" s="7">
        <f t="shared" si="4"/>
        <v>-13.8254502359581</v>
      </c>
      <c r="J7" s="7">
        <f t="shared" si="0"/>
        <v>-0.00507209631462362</v>
      </c>
      <c r="K7" s="7">
        <f t="shared" si="13"/>
        <v>-13.8305223322727</v>
      </c>
      <c r="L7" s="7">
        <f t="shared" si="5"/>
        <v>-53.0025197681492</v>
      </c>
      <c r="M7" s="7">
        <f t="shared" si="1"/>
        <v>-0.00150430643596357</v>
      </c>
      <c r="N7" s="10">
        <v>-53.005</v>
      </c>
      <c r="O7" s="9">
        <f t="shared" si="6"/>
        <v>355760.6068302</v>
      </c>
      <c r="P7" s="9">
        <f t="shared" si="7"/>
        <v>3055731.49925148</v>
      </c>
      <c r="R7" s="12">
        <f t="shared" si="8"/>
        <v>99.5011111111111</v>
      </c>
      <c r="S7">
        <v>1.39</v>
      </c>
      <c r="T7" s="18">
        <v>1</v>
      </c>
      <c r="U7" s="7">
        <f t="shared" si="9"/>
        <v>-8.777430406853</v>
      </c>
      <c r="V7" s="7">
        <f t="shared" si="10"/>
        <v>0.101893793454037</v>
      </c>
      <c r="W7" s="7">
        <f t="shared" si="15"/>
        <v>1505.67628510795</v>
      </c>
    </row>
    <row r="8" ht="15.6" spans="1:23">
      <c r="A8">
        <v>1006</v>
      </c>
      <c r="B8">
        <f t="shared" si="2"/>
        <v>280.319166666667</v>
      </c>
      <c r="C8" s="2">
        <f t="shared" si="11"/>
        <v>-0.00222222222217689</v>
      </c>
      <c r="D8" s="2">
        <f t="shared" si="12"/>
        <v>280.316944444444</v>
      </c>
      <c r="E8" t="s">
        <v>31</v>
      </c>
      <c r="F8" s="2">
        <f t="shared" si="16"/>
        <v>355.697433333333</v>
      </c>
      <c r="G8" s="2">
        <f t="shared" si="3"/>
        <v>355.697433333333</v>
      </c>
      <c r="H8">
        <v>36.606</v>
      </c>
      <c r="I8" s="7">
        <f t="shared" si="4"/>
        <v>36.5028324617066</v>
      </c>
      <c r="J8" s="7">
        <f t="shared" si="0"/>
        <v>-0.00338960781534088</v>
      </c>
      <c r="K8" s="7">
        <f t="shared" si="13"/>
        <v>36.4994428538912</v>
      </c>
      <c r="L8" s="7">
        <f t="shared" si="5"/>
        <v>-2.74635363210608</v>
      </c>
      <c r="M8" s="7">
        <f t="shared" si="1"/>
        <v>-0.00100530599888422</v>
      </c>
      <c r="N8" s="7">
        <f t="shared" si="14"/>
        <v>-2.74735893810496</v>
      </c>
      <c r="O8" s="9">
        <f t="shared" si="6"/>
        <v>355707.6018302</v>
      </c>
      <c r="P8" s="9">
        <f t="shared" si="7"/>
        <v>3055717.66872914</v>
      </c>
      <c r="R8" s="12">
        <f t="shared" si="8"/>
        <v>93.0938888888889</v>
      </c>
      <c r="S8">
        <v>1.36</v>
      </c>
      <c r="T8" s="21">
        <v>0.8</v>
      </c>
      <c r="U8" s="7">
        <f t="shared" si="9"/>
        <v>-1.4185818949594</v>
      </c>
      <c r="V8" s="7">
        <f t="shared" si="10"/>
        <v>0.101893793454037</v>
      </c>
      <c r="W8" s="7">
        <f t="shared" si="15"/>
        <v>1497.00074849455</v>
      </c>
    </row>
    <row r="9" ht="15.6" spans="1:23">
      <c r="A9">
        <v>1007</v>
      </c>
      <c r="B9">
        <f t="shared" si="2"/>
        <v>225.79</v>
      </c>
      <c r="C9" s="2">
        <f t="shared" si="11"/>
        <v>-0.00222222222217689</v>
      </c>
      <c r="D9" s="2">
        <f t="shared" si="12"/>
        <v>225.787777777778</v>
      </c>
      <c r="E9" t="s">
        <v>32</v>
      </c>
      <c r="F9" s="2">
        <f>F8+D9-540</f>
        <v>41.4852111111111</v>
      </c>
      <c r="G9" s="2">
        <f t="shared" si="3"/>
        <v>41.4852111111111</v>
      </c>
      <c r="H9">
        <v>71.106</v>
      </c>
      <c r="I9" s="7">
        <f t="shared" si="4"/>
        <v>53.2674122080614</v>
      </c>
      <c r="J9" s="7">
        <f t="shared" si="0"/>
        <v>-0.00658420623170051</v>
      </c>
      <c r="K9" s="7">
        <f t="shared" si="13"/>
        <v>53.2608280018297</v>
      </c>
      <c r="L9" s="7">
        <f t="shared" si="5"/>
        <v>47.1025055878821</v>
      </c>
      <c r="M9" s="7">
        <f t="shared" si="1"/>
        <v>-0.00195277518321209</v>
      </c>
      <c r="N9" s="7">
        <v>47.101</v>
      </c>
      <c r="O9" s="9">
        <f t="shared" si="6"/>
        <v>355704.854471262</v>
      </c>
      <c r="P9" s="9">
        <f t="shared" si="7"/>
        <v>3055754.168172</v>
      </c>
      <c r="R9" s="12">
        <f t="shared" si="8"/>
        <v>71.8788888888889</v>
      </c>
      <c r="S9" s="19">
        <v>1.58</v>
      </c>
      <c r="T9" s="20">
        <v>1.4</v>
      </c>
      <c r="U9" s="7">
        <f t="shared" si="9"/>
        <v>23.4500458135051</v>
      </c>
      <c r="V9" s="7">
        <f t="shared" si="10"/>
        <v>0.101893793454037</v>
      </c>
      <c r="W9" s="7">
        <f t="shared" si="15"/>
        <v>1495.68406039304</v>
      </c>
    </row>
    <row r="10" ht="15.6" spans="1:23">
      <c r="A10">
        <v>1001</v>
      </c>
      <c r="C10" s="2"/>
      <c r="D10" s="2">
        <f t="shared" si="12"/>
        <v>0</v>
      </c>
      <c r="F10" s="2"/>
      <c r="G10" s="2"/>
      <c r="I10" s="7"/>
      <c r="J10" s="7"/>
      <c r="K10" s="7"/>
      <c r="L10" s="7"/>
      <c r="M10" s="7"/>
      <c r="N10" s="7"/>
      <c r="O10" s="11">
        <f t="shared" si="6"/>
        <v>355751.955471262</v>
      </c>
      <c r="P10" s="11">
        <f t="shared" si="7"/>
        <v>3055807.429</v>
      </c>
      <c r="V10" s="7"/>
      <c r="W10" s="22">
        <f t="shared" si="15"/>
        <v>1519.236</v>
      </c>
    </row>
    <row r="12" spans="1:22">
      <c r="A12" t="s">
        <v>33</v>
      </c>
      <c r="B12">
        <f>SUM(B3:B10)</f>
        <v>1620.01555555556</v>
      </c>
      <c r="D12">
        <f>SUM(D3:D10)</f>
        <v>1620</v>
      </c>
      <c r="H12">
        <f>SUM(H3:H11)</f>
        <v>364.913</v>
      </c>
      <c r="I12" s="7">
        <f>SUM(I3:I10)</f>
        <v>0.0337898693306968</v>
      </c>
      <c r="J12" s="7">
        <f>SUM(J3:J11)</f>
        <v>-0.0337898693306968</v>
      </c>
      <c r="K12" s="7">
        <f>SUM(K3:K11)</f>
        <v>0</v>
      </c>
      <c r="L12" s="7">
        <f>SUM(L3:L11)</f>
        <v>0.0100215600713227</v>
      </c>
      <c r="M12" s="7">
        <f>SUM(M3:M11)</f>
        <v>-0.0100215600713227</v>
      </c>
      <c r="N12" s="7">
        <f>SUM(N3:N11)</f>
        <v>-0.000528738113757754</v>
      </c>
      <c r="S12">
        <f>SUM(S3:S9)</f>
        <v>9.95</v>
      </c>
      <c r="U12" s="7">
        <f>SUM(U3:U9)</f>
        <v>-0.713256554178262</v>
      </c>
      <c r="V12" s="7">
        <f>SUM(V3:V9)</f>
        <v>0.713256554178262</v>
      </c>
    </row>
    <row r="16" spans="15:16">
      <c r="O16">
        <f>O4-O3</f>
        <v>74.9969183137873</v>
      </c>
      <c r="P16">
        <f>P4-P3</f>
        <v>-27.0718447300605</v>
      </c>
    </row>
    <row r="17" spans="7:8">
      <c r="G17" t="s">
        <v>34</v>
      </c>
      <c r="H17">
        <f>SQRT(I12*I12+L12*L12)</f>
        <v>0.0352446724434871</v>
      </c>
    </row>
    <row r="18" spans="8:8">
      <c r="H18" s="3"/>
    </row>
    <row r="19" spans="7:8">
      <c r="G19" t="s">
        <v>35</v>
      </c>
      <c r="H19">
        <f>H12/H17</f>
        <v>10353.7066654576</v>
      </c>
    </row>
    <row r="22" spans="2:21">
      <c r="B22" s="4" t="s">
        <v>36</v>
      </c>
      <c r="C22" s="4"/>
      <c r="D22" s="4"/>
      <c r="E22" s="4"/>
      <c r="R22" s="4" t="s">
        <v>37</v>
      </c>
      <c r="S22" s="4"/>
      <c r="T22" s="4"/>
      <c r="U22" s="4"/>
    </row>
    <row r="23" spans="3:20">
      <c r="C23" t="s">
        <v>38</v>
      </c>
      <c r="D23" t="s">
        <v>39</v>
      </c>
      <c r="E23" t="s">
        <v>40</v>
      </c>
      <c r="R23" t="s">
        <v>41</v>
      </c>
      <c r="S23" t="s">
        <v>42</v>
      </c>
      <c r="T23" t="s">
        <v>43</v>
      </c>
    </row>
    <row r="24" spans="2:20">
      <c r="B24">
        <v>1001</v>
      </c>
      <c r="C24">
        <v>248</v>
      </c>
      <c r="D24">
        <v>21</v>
      </c>
      <c r="E24">
        <v>35</v>
      </c>
      <c r="R24" s="23">
        <v>90</v>
      </c>
      <c r="S24" s="23">
        <v>18</v>
      </c>
      <c r="T24" s="23">
        <v>24</v>
      </c>
    </row>
    <row r="25" spans="2:20">
      <c r="B25">
        <v>1002</v>
      </c>
      <c r="C25">
        <v>243</v>
      </c>
      <c r="D25">
        <v>45</v>
      </c>
      <c r="E25">
        <v>34</v>
      </c>
      <c r="R25" s="18">
        <v>95</v>
      </c>
      <c r="S25" s="18">
        <v>23</v>
      </c>
      <c r="T25" s="18">
        <v>47</v>
      </c>
    </row>
    <row r="26" spans="2:20">
      <c r="B26">
        <v>1003</v>
      </c>
      <c r="C26">
        <v>252</v>
      </c>
      <c r="D26">
        <v>18</v>
      </c>
      <c r="E26">
        <v>25</v>
      </c>
      <c r="R26" s="18">
        <v>95</v>
      </c>
      <c r="S26" s="18">
        <v>43</v>
      </c>
      <c r="T26" s="18">
        <v>3</v>
      </c>
    </row>
    <row r="27" spans="2:20">
      <c r="B27">
        <v>1004</v>
      </c>
      <c r="C27">
        <v>224</v>
      </c>
      <c r="D27">
        <v>59</v>
      </c>
      <c r="E27">
        <v>30</v>
      </c>
      <c r="R27" s="24">
        <v>102</v>
      </c>
      <c r="S27" s="24">
        <v>40</v>
      </c>
      <c r="T27" s="24">
        <v>31</v>
      </c>
    </row>
    <row r="28" spans="2:20">
      <c r="B28">
        <v>1005</v>
      </c>
      <c r="C28">
        <v>144</v>
      </c>
      <c r="D28">
        <v>29</v>
      </c>
      <c r="E28">
        <v>19</v>
      </c>
      <c r="R28" s="18">
        <v>99</v>
      </c>
      <c r="S28" s="18">
        <v>30</v>
      </c>
      <c r="T28" s="18">
        <v>4</v>
      </c>
    </row>
    <row r="29" spans="2:20">
      <c r="B29">
        <v>1006</v>
      </c>
      <c r="C29">
        <v>280</v>
      </c>
      <c r="D29">
        <v>19</v>
      </c>
      <c r="E29">
        <v>9</v>
      </c>
      <c r="R29" s="18">
        <v>93</v>
      </c>
      <c r="S29" s="18">
        <v>5</v>
      </c>
      <c r="T29" s="18">
        <v>38</v>
      </c>
    </row>
    <row r="30" spans="2:20">
      <c r="B30">
        <v>1007</v>
      </c>
      <c r="C30">
        <v>225</v>
      </c>
      <c r="D30">
        <v>47</v>
      </c>
      <c r="E30">
        <v>24</v>
      </c>
      <c r="R30" s="25">
        <v>71</v>
      </c>
      <c r="S30" s="25">
        <v>52</v>
      </c>
      <c r="T30" s="25">
        <v>44</v>
      </c>
    </row>
  </sheetData>
  <mergeCells count="2">
    <mergeCell ref="B22:E22"/>
    <mergeCell ref="R22:U22"/>
  </mergeCells>
  <pageMargins left="0.7" right="0.7" top="0.75" bottom="0.75" header="0.3" footer="0.3"/>
  <pageSetup paperSize="9" orientation="portrait"/>
  <headerFooter/>
  <ignoredErrors>
    <ignoredError sqref="F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khadka</dc:creator>
  <cp:lastModifiedBy>USER</cp:lastModifiedBy>
  <dcterms:created xsi:type="dcterms:W3CDTF">2024-11-26T02:54:00Z</dcterms:created>
  <dcterms:modified xsi:type="dcterms:W3CDTF">2025-03-04T04:58:50Z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95E91B1683404151B3157941D46F54DB_13</vt:lpwstr>
  </property>
  <property fmtid="{D5CDD505-2E9C-101B-9397-08002B2CF9AE}" pid="3" name="KSOProductBuildVer">
    <vt:lpwstr>1033-12.2.0.19805</vt:lpwstr>
  </property>
</Properties>
</file>