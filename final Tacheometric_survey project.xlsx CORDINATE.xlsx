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1" windowHeight="87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<sst xmlns="http://schemas.openxmlformats.org/spreadsheetml/2006/main" count="714" uniqueCount="711">
  <si>
    <t>S.n</t>
  </si>
  <si>
    <t xml:space="preserve">                horizontal angle</t>
  </si>
  <si>
    <t>Horizontal angle</t>
  </si>
  <si>
    <t>horizontal angle</t>
  </si>
  <si>
    <t>zenithal angle</t>
  </si>
  <si>
    <t xml:space="preserve">    zenithal angle    </t>
  </si>
  <si>
    <t>horizontal distance</t>
  </si>
  <si>
    <t>(Δh)</t>
  </si>
  <si>
    <t>inst.height</t>
  </si>
  <si>
    <t>RL</t>
  </si>
  <si>
    <t xml:space="preserve">RL of all station </t>
  </si>
  <si>
    <t>remarks</t>
  </si>
  <si>
    <t>coordinates</t>
  </si>
  <si>
    <t>Top(t)</t>
  </si>
  <si>
    <t>Middle(m)</t>
  </si>
  <si>
    <t>Bottom(b)</t>
  </si>
  <si>
    <t>deg</t>
  </si>
  <si>
    <t>min</t>
  </si>
  <si>
    <t>se c</t>
  </si>
  <si>
    <t>sec</t>
  </si>
  <si>
    <t>Easting</t>
  </si>
  <si>
    <t>Northing</t>
  </si>
  <si>
    <t>Bearing</t>
  </si>
  <si>
    <t xml:space="preserve">Easting </t>
  </si>
  <si>
    <t>1+1=1</t>
  </si>
  <si>
    <t>TWO</t>
  </si>
  <si>
    <t>1+1=2</t>
  </si>
  <si>
    <t>1+1=3</t>
  </si>
  <si>
    <t>1+1=4</t>
  </si>
  <si>
    <t>1+1=5</t>
  </si>
  <si>
    <t>1+1=6</t>
  </si>
  <si>
    <t>1+1=7</t>
  </si>
  <si>
    <t>1+1=8</t>
  </si>
  <si>
    <t>1+1=9</t>
  </si>
  <si>
    <t>1+1=10</t>
  </si>
  <si>
    <t>1+1=11</t>
  </si>
  <si>
    <t>1+1=12</t>
  </si>
  <si>
    <t>1+1=13</t>
  </si>
  <si>
    <t>1+1=14</t>
  </si>
  <si>
    <t>1+1=15</t>
  </si>
  <si>
    <t>1+1=16</t>
  </si>
  <si>
    <t>1+1=17</t>
  </si>
  <si>
    <t>1+1=18</t>
  </si>
  <si>
    <t>1+1=19</t>
  </si>
  <si>
    <t>1+1=20</t>
  </si>
  <si>
    <t>1+1=21</t>
  </si>
  <si>
    <t>1+1=22</t>
  </si>
  <si>
    <t>1+1=23</t>
  </si>
  <si>
    <t>1+1=24</t>
  </si>
  <si>
    <t>1+1=25</t>
  </si>
  <si>
    <t>1+1=26</t>
  </si>
  <si>
    <t>1+1=27</t>
  </si>
  <si>
    <t>1+1=28</t>
  </si>
  <si>
    <t>1+1=29</t>
  </si>
  <si>
    <t>1+1=30</t>
  </si>
  <si>
    <t>1+1=31</t>
  </si>
  <si>
    <t>1+1=32</t>
  </si>
  <si>
    <t>1+1=33</t>
  </si>
  <si>
    <t>1+1=34</t>
  </si>
  <si>
    <t>1+1=35</t>
  </si>
  <si>
    <t>1+1=36</t>
  </si>
  <si>
    <t>1+1=37</t>
  </si>
  <si>
    <t>1+1=38</t>
  </si>
  <si>
    <t>1+1=39</t>
  </si>
  <si>
    <t>1+1=40</t>
  </si>
  <si>
    <t>1+1=41</t>
  </si>
  <si>
    <t>1+1=42</t>
  </si>
  <si>
    <t>1+1=43</t>
  </si>
  <si>
    <t>1+1=44</t>
  </si>
  <si>
    <t>1+1=45</t>
  </si>
  <si>
    <t>1+1=46</t>
  </si>
  <si>
    <t>1+1=47</t>
  </si>
  <si>
    <t>1+1=48</t>
  </si>
  <si>
    <t>1+1=49</t>
  </si>
  <si>
    <t>1+1=50</t>
  </si>
  <si>
    <t>1+1=51</t>
  </si>
  <si>
    <t>1+1=52</t>
  </si>
  <si>
    <t>1+1=53</t>
  </si>
  <si>
    <t>1+1=54</t>
  </si>
  <si>
    <t>1+1=55</t>
  </si>
  <si>
    <t>1+1=56</t>
  </si>
  <si>
    <t>1+1=57</t>
  </si>
  <si>
    <t>1+1=58</t>
  </si>
  <si>
    <t>1+1=59</t>
  </si>
  <si>
    <t>1+1=60</t>
  </si>
  <si>
    <t>1+1=61</t>
  </si>
  <si>
    <t>1+1=62</t>
  </si>
  <si>
    <t>1+1=63</t>
  </si>
  <si>
    <t>1+1=64</t>
  </si>
  <si>
    <t>1+1=65</t>
  </si>
  <si>
    <t>1+1=66</t>
  </si>
  <si>
    <t>1+1=67</t>
  </si>
  <si>
    <t>1+1=68</t>
  </si>
  <si>
    <t>1+1=69</t>
  </si>
  <si>
    <t>1+1=70</t>
  </si>
  <si>
    <t>1+1=71</t>
  </si>
  <si>
    <t>1+1=72</t>
  </si>
  <si>
    <t>1+1=73</t>
  </si>
  <si>
    <t>1+1=74</t>
  </si>
  <si>
    <t>1+1=75</t>
  </si>
  <si>
    <t>1+1=76</t>
  </si>
  <si>
    <t>1+1=77</t>
  </si>
  <si>
    <t>1+1=78</t>
  </si>
  <si>
    <t>1+1=79</t>
  </si>
  <si>
    <t>1+1=80</t>
  </si>
  <si>
    <t>1+1=81</t>
  </si>
  <si>
    <t>1+1=82</t>
  </si>
  <si>
    <t>1+1=83</t>
  </si>
  <si>
    <t>1+1=84</t>
  </si>
  <si>
    <t>1+1=85</t>
  </si>
  <si>
    <t>1+1=86</t>
  </si>
  <si>
    <t>1+1=87</t>
  </si>
  <si>
    <t>1+1=88</t>
  </si>
  <si>
    <t>1+1=89</t>
  </si>
  <si>
    <t>1+1=90</t>
  </si>
  <si>
    <t>1+1=91</t>
  </si>
  <si>
    <t>1+1=92</t>
  </si>
  <si>
    <t>1+1=93</t>
  </si>
  <si>
    <t>1+1=94</t>
  </si>
  <si>
    <t>1+1=95</t>
  </si>
  <si>
    <t>1+1=96</t>
  </si>
  <si>
    <t>1+1=97</t>
  </si>
  <si>
    <t>1+1=98</t>
  </si>
  <si>
    <t>1+1=99</t>
  </si>
  <si>
    <t>1+1=100</t>
  </si>
  <si>
    <t>1+1=101</t>
  </si>
  <si>
    <t>1+1=102</t>
  </si>
  <si>
    <t>1+1=103</t>
  </si>
  <si>
    <t>1+1=104</t>
  </si>
  <si>
    <t>1+1=105</t>
  </si>
  <si>
    <t>1+1=106</t>
  </si>
  <si>
    <t>1+1=107</t>
  </si>
  <si>
    <t>1+1=108</t>
  </si>
  <si>
    <t>1+1=109</t>
  </si>
  <si>
    <t>1+1=110</t>
  </si>
  <si>
    <t>1+1=111</t>
  </si>
  <si>
    <t>1+1=112</t>
  </si>
  <si>
    <t>1+1=113</t>
  </si>
  <si>
    <t>1+1=114</t>
  </si>
  <si>
    <t>1+1=115</t>
  </si>
  <si>
    <t>1+1=116</t>
  </si>
  <si>
    <t>1+1=117</t>
  </si>
  <si>
    <t>1+1=118</t>
  </si>
  <si>
    <t>1+1=119</t>
  </si>
  <si>
    <t>1+1=120</t>
  </si>
  <si>
    <t>1+1=121</t>
  </si>
  <si>
    <t>THREE</t>
  </si>
  <si>
    <t>1+1=122</t>
  </si>
  <si>
    <t>1+1=123</t>
  </si>
  <si>
    <t>1+1=124</t>
  </si>
  <si>
    <t>1+1=125</t>
  </si>
  <si>
    <t>1+1=126</t>
  </si>
  <si>
    <t>1+1=127</t>
  </si>
  <si>
    <t>1+1=128</t>
  </si>
  <si>
    <t>1+1=129</t>
  </si>
  <si>
    <t>1+1=130</t>
  </si>
  <si>
    <t>1+1=131</t>
  </si>
  <si>
    <t>1+1=132</t>
  </si>
  <si>
    <t>1+1=133</t>
  </si>
  <si>
    <t>1+1=134</t>
  </si>
  <si>
    <t>1+1=135</t>
  </si>
  <si>
    <t>1+1=136</t>
  </si>
  <si>
    <t>1+1=137</t>
  </si>
  <si>
    <t>1+1=138</t>
  </si>
  <si>
    <t>1+1=139</t>
  </si>
  <si>
    <t>1+1=140</t>
  </si>
  <si>
    <t>1+1=141</t>
  </si>
  <si>
    <t>1+1=142</t>
  </si>
  <si>
    <t>1+1=143</t>
  </si>
  <si>
    <t>1+1=144</t>
  </si>
  <si>
    <t>1+1=145</t>
  </si>
  <si>
    <t>1+1=146</t>
  </si>
  <si>
    <t>1+1=147</t>
  </si>
  <si>
    <t>1+1=148</t>
  </si>
  <si>
    <t>1+1=149</t>
  </si>
  <si>
    <t>1+1=150</t>
  </si>
  <si>
    <t>1+1=151</t>
  </si>
  <si>
    <t>1+1=152</t>
  </si>
  <si>
    <t>1+1=153</t>
  </si>
  <si>
    <t>1+1=154</t>
  </si>
  <si>
    <t>1+1=155</t>
  </si>
  <si>
    <t>1+1=156</t>
  </si>
  <si>
    <t>1+1=157</t>
  </si>
  <si>
    <t>1+1=158</t>
  </si>
  <si>
    <t>1+1=159</t>
  </si>
  <si>
    <t>1+1=160</t>
  </si>
  <si>
    <t>1+1=161</t>
  </si>
  <si>
    <t>1+1=162</t>
  </si>
  <si>
    <t>1+1=163</t>
  </si>
  <si>
    <t>1+1=164</t>
  </si>
  <si>
    <t>1+1=165</t>
  </si>
  <si>
    <t>1+1=166</t>
  </si>
  <si>
    <t>1+1=167</t>
  </si>
  <si>
    <t>1+1=168</t>
  </si>
  <si>
    <t>1+1=169</t>
  </si>
  <si>
    <t>1+1=170</t>
  </si>
  <si>
    <t>1+1=171</t>
  </si>
  <si>
    <t>1+1=172</t>
  </si>
  <si>
    <t>1+1=173</t>
  </si>
  <si>
    <t>1+1=174</t>
  </si>
  <si>
    <t>1+1=175</t>
  </si>
  <si>
    <t>1+1=176</t>
  </si>
  <si>
    <t>1+1=177</t>
  </si>
  <si>
    <t>1+1=178</t>
  </si>
  <si>
    <t>1+1=179</t>
  </si>
  <si>
    <t>1+1=180</t>
  </si>
  <si>
    <t>1+1=181</t>
  </si>
  <si>
    <t>1+1=182</t>
  </si>
  <si>
    <t>1+1=183</t>
  </si>
  <si>
    <t>1+1=184</t>
  </si>
  <si>
    <t>1+1=185</t>
  </si>
  <si>
    <t>1+1=186</t>
  </si>
  <si>
    <t>1+1=187</t>
  </si>
  <si>
    <t>1+1=188</t>
  </si>
  <si>
    <t>1+1=189</t>
  </si>
  <si>
    <t>1+1=190</t>
  </si>
  <si>
    <t>1+1=191</t>
  </si>
  <si>
    <t>1+1=192</t>
  </si>
  <si>
    <t>1+1=193</t>
  </si>
  <si>
    <t>1+1=194</t>
  </si>
  <si>
    <t>1+1=195</t>
  </si>
  <si>
    <t>1+1=196</t>
  </si>
  <si>
    <t>1+1=197</t>
  </si>
  <si>
    <t>1+1=198</t>
  </si>
  <si>
    <t>1+1=199</t>
  </si>
  <si>
    <t>1+1=200</t>
  </si>
  <si>
    <t>1+1=201</t>
  </si>
  <si>
    <t>1+1=202</t>
  </si>
  <si>
    <t>1+1=203</t>
  </si>
  <si>
    <t>1+1=204</t>
  </si>
  <si>
    <t>1+1=205</t>
  </si>
  <si>
    <t>1+1=206</t>
  </si>
  <si>
    <t>1+1=207</t>
  </si>
  <si>
    <t>1+1=208</t>
  </si>
  <si>
    <t>1+1=209</t>
  </si>
  <si>
    <t>1+1=210</t>
  </si>
  <si>
    <t>FOUR</t>
  </si>
  <si>
    <t>1+1=211</t>
  </si>
  <si>
    <t>1+1=212</t>
  </si>
  <si>
    <t>1+1=213</t>
  </si>
  <si>
    <t>1+1=214</t>
  </si>
  <si>
    <t>1+1=215</t>
  </si>
  <si>
    <t>1+1=216</t>
  </si>
  <si>
    <t>1+1=217</t>
  </si>
  <si>
    <t>1+1=218</t>
  </si>
  <si>
    <t>1+1=219</t>
  </si>
  <si>
    <t>1+1=220</t>
  </si>
  <si>
    <t>1+1=221</t>
  </si>
  <si>
    <t>1+1=222</t>
  </si>
  <si>
    <t>1+1=223</t>
  </si>
  <si>
    <t>1+1=224</t>
  </si>
  <si>
    <t>1+1=225</t>
  </si>
  <si>
    <t>1+1=226</t>
  </si>
  <si>
    <t>1+1=227</t>
  </si>
  <si>
    <t>1+1=228</t>
  </si>
  <si>
    <t>1+1=229</t>
  </si>
  <si>
    <t>1+1=230</t>
  </si>
  <si>
    <t>1+1=231</t>
  </si>
  <si>
    <t>1+1=232</t>
  </si>
  <si>
    <t>1+1=233</t>
  </si>
  <si>
    <t>1+1=234</t>
  </si>
  <si>
    <t>1+1=235</t>
  </si>
  <si>
    <t>1+1=236</t>
  </si>
  <si>
    <t>1+1=237</t>
  </si>
  <si>
    <t>1+1=238</t>
  </si>
  <si>
    <t>1+1=239</t>
  </si>
  <si>
    <t>1+1=240</t>
  </si>
  <si>
    <t>1+1=241</t>
  </si>
  <si>
    <t>1+1=242</t>
  </si>
  <si>
    <t>1+1=243</t>
  </si>
  <si>
    <t>1+1=244</t>
  </si>
  <si>
    <t>1+1=245</t>
  </si>
  <si>
    <t>1+1=246</t>
  </si>
  <si>
    <t>1+1=247</t>
  </si>
  <si>
    <t>1+1=248</t>
  </si>
  <si>
    <t>1+1=249</t>
  </si>
  <si>
    <t>1+1=250</t>
  </si>
  <si>
    <t>1+1=251</t>
  </si>
  <si>
    <t>1+1=252</t>
  </si>
  <si>
    <t>1+1=253</t>
  </si>
  <si>
    <t>1+1=254</t>
  </si>
  <si>
    <t>1+1=255</t>
  </si>
  <si>
    <t>1+1=256</t>
  </si>
  <si>
    <t>1+1=257</t>
  </si>
  <si>
    <t>1+1=258</t>
  </si>
  <si>
    <t>1+1=259</t>
  </si>
  <si>
    <t>1+1=260</t>
  </si>
  <si>
    <t>1+1=261</t>
  </si>
  <si>
    <t>1+1=262</t>
  </si>
  <si>
    <t>1+1=263</t>
  </si>
  <si>
    <t>1+1=264</t>
  </si>
  <si>
    <t>1+1=265</t>
  </si>
  <si>
    <t>1+1=266</t>
  </si>
  <si>
    <t>1+1=267</t>
  </si>
  <si>
    <t>1+1=268</t>
  </si>
  <si>
    <t>1+1=269</t>
  </si>
  <si>
    <t>1+1=270</t>
  </si>
  <si>
    <t>1+1=271</t>
  </si>
  <si>
    <t>1+1=272</t>
  </si>
  <si>
    <t>1+1=273</t>
  </si>
  <si>
    <t>1+1=274</t>
  </si>
  <si>
    <t>1+1=275</t>
  </si>
  <si>
    <t>1+1=276</t>
  </si>
  <si>
    <t>1+1=277</t>
  </si>
  <si>
    <t>1+1=278</t>
  </si>
  <si>
    <t>1+1=279</t>
  </si>
  <si>
    <t>1+1=280</t>
  </si>
  <si>
    <t>1+1=281</t>
  </si>
  <si>
    <t>1+1=282</t>
  </si>
  <si>
    <t>1+1=283</t>
  </si>
  <si>
    <t>1+1=284</t>
  </si>
  <si>
    <t>1+1=285</t>
  </si>
  <si>
    <t>SIX</t>
  </si>
  <si>
    <t>1+1=286</t>
  </si>
  <si>
    <t>1+1=287</t>
  </si>
  <si>
    <t>1+1=288</t>
  </si>
  <si>
    <t>1+1=289</t>
  </si>
  <si>
    <t>1+1=290</t>
  </si>
  <si>
    <t>1+1=291</t>
  </si>
  <si>
    <t>1+1=292</t>
  </si>
  <si>
    <t>1+1=293</t>
  </si>
  <si>
    <t>1+1=294</t>
  </si>
  <si>
    <t>1+1=295</t>
  </si>
  <si>
    <t>1+1=296</t>
  </si>
  <si>
    <t>1+1=297</t>
  </si>
  <si>
    <t>1+1=298</t>
  </si>
  <si>
    <t>1+1=299</t>
  </si>
  <si>
    <t>1+1=300</t>
  </si>
  <si>
    <t>1+1=301</t>
  </si>
  <si>
    <t>1+1=302</t>
  </si>
  <si>
    <t>1+1=303</t>
  </si>
  <si>
    <t>1+1=304</t>
  </si>
  <si>
    <t>1+1=305</t>
  </si>
  <si>
    <t>1+1=306</t>
  </si>
  <si>
    <t>1+1=307</t>
  </si>
  <si>
    <t>1+1=308</t>
  </si>
  <si>
    <t>1+1=309</t>
  </si>
  <si>
    <t>1+1=310</t>
  </si>
  <si>
    <t>1+1=311</t>
  </si>
  <si>
    <t>1+1=312</t>
  </si>
  <si>
    <t>1+1=313</t>
  </si>
  <si>
    <t>1+1=314</t>
  </si>
  <si>
    <t>1+1=315</t>
  </si>
  <si>
    <t>1+1=316</t>
  </si>
  <si>
    <t>1+1=317</t>
  </si>
  <si>
    <t>1+1=318</t>
  </si>
  <si>
    <t>1+1=319</t>
  </si>
  <si>
    <t>1+1=320</t>
  </si>
  <si>
    <t>1+1=321</t>
  </si>
  <si>
    <t>1+1=322</t>
  </si>
  <si>
    <t>1+1=323</t>
  </si>
  <si>
    <t>1+1=324</t>
  </si>
  <si>
    <t>1+1=325</t>
  </si>
  <si>
    <t>1+1=326</t>
  </si>
  <si>
    <t>1+1=327</t>
  </si>
  <si>
    <t>1+1=328</t>
  </si>
  <si>
    <t>1+1=329</t>
  </si>
  <si>
    <t>1+1=330</t>
  </si>
  <si>
    <t>1+1=331</t>
  </si>
  <si>
    <t>1+1=332</t>
  </si>
  <si>
    <t>1+1=333</t>
  </si>
  <si>
    <t>1+1=334</t>
  </si>
  <si>
    <t>1+1=335</t>
  </si>
  <si>
    <t>1+1=336</t>
  </si>
  <si>
    <t>1+1=337</t>
  </si>
  <si>
    <t>1+1=338</t>
  </si>
  <si>
    <t>1+1=339</t>
  </si>
  <si>
    <t>1+1=340</t>
  </si>
  <si>
    <t>1+1=341</t>
  </si>
  <si>
    <t>1+1=342</t>
  </si>
  <si>
    <t>1+1=343</t>
  </si>
  <si>
    <t>1+1=344</t>
  </si>
  <si>
    <t>1+1=345</t>
  </si>
  <si>
    <t>1+1=346</t>
  </si>
  <si>
    <t>1+1=347</t>
  </si>
  <si>
    <t>1+1=348</t>
  </si>
  <si>
    <t>1+1=349</t>
  </si>
  <si>
    <t>1+1=350</t>
  </si>
  <si>
    <t>seven</t>
  </si>
  <si>
    <t>1+1=351</t>
  </si>
  <si>
    <t>1+1=352</t>
  </si>
  <si>
    <t>1+1=353</t>
  </si>
  <si>
    <t>1+1=354</t>
  </si>
  <si>
    <t>1+1=355</t>
  </si>
  <si>
    <t>1+1=356</t>
  </si>
  <si>
    <t>1+1=357</t>
  </si>
  <si>
    <t>1+1=358</t>
  </si>
  <si>
    <t>1+1=359</t>
  </si>
  <si>
    <t>1+1=360</t>
  </si>
  <si>
    <t>1+1=361</t>
  </si>
  <si>
    <t>1+1=362</t>
  </si>
  <si>
    <t>1+1=363</t>
  </si>
  <si>
    <t>1+1=364</t>
  </si>
  <si>
    <t>1+1=365</t>
  </si>
  <si>
    <t>1+1=366</t>
  </si>
  <si>
    <t>1+1=367</t>
  </si>
  <si>
    <t>1+1=368</t>
  </si>
  <si>
    <t>1+1=369</t>
  </si>
  <si>
    <t>1+1=370</t>
  </si>
  <si>
    <t>1+1=371</t>
  </si>
  <si>
    <t>1+1=372</t>
  </si>
  <si>
    <t>1+1=373</t>
  </si>
  <si>
    <t>1+1=374</t>
  </si>
  <si>
    <t>1+1=375</t>
  </si>
  <si>
    <t>1+1=376</t>
  </si>
  <si>
    <t>1+1=377</t>
  </si>
  <si>
    <t>1+1=378</t>
  </si>
  <si>
    <t>1+1=379</t>
  </si>
  <si>
    <t>1+1=380</t>
  </si>
  <si>
    <t>1+1=381</t>
  </si>
  <si>
    <t>1+1=382</t>
  </si>
  <si>
    <t>1+1=383</t>
  </si>
  <si>
    <t>1+1=384</t>
  </si>
  <si>
    <t>1+1=385</t>
  </si>
  <si>
    <t>1+1=386</t>
  </si>
  <si>
    <t>1+1=387</t>
  </si>
  <si>
    <t>1+1=388</t>
  </si>
  <si>
    <t>1+1=389</t>
  </si>
  <si>
    <t>1+1=390</t>
  </si>
  <si>
    <t>1+1=391</t>
  </si>
  <si>
    <t>1+1=392</t>
  </si>
  <si>
    <t>1+1=393</t>
  </si>
  <si>
    <t>1+1=394</t>
  </si>
  <si>
    <t>1+1=395</t>
  </si>
  <si>
    <t>1+1=396</t>
  </si>
  <si>
    <t>1+1=397</t>
  </si>
  <si>
    <t>1+1=398</t>
  </si>
  <si>
    <t>1+1=399</t>
  </si>
  <si>
    <t>1+1=400</t>
  </si>
  <si>
    <t>1+1=401</t>
  </si>
  <si>
    <t>1+1=402</t>
  </si>
  <si>
    <t>1+1=403</t>
  </si>
  <si>
    <t>1+1=404</t>
  </si>
  <si>
    <t>1+1=405</t>
  </si>
  <si>
    <t>1+1=406</t>
  </si>
  <si>
    <t>1+1=407</t>
  </si>
  <si>
    <t>1+1=408</t>
  </si>
  <si>
    <t>1+1=409</t>
  </si>
  <si>
    <t>1+1=410</t>
  </si>
  <si>
    <t>1+1=411</t>
  </si>
  <si>
    <t>1+1=412</t>
  </si>
  <si>
    <t>1+1=413</t>
  </si>
  <si>
    <t>1+1=414</t>
  </si>
  <si>
    <t>1+1=415</t>
  </si>
  <si>
    <t>1+1=416</t>
  </si>
  <si>
    <t>1+1=417</t>
  </si>
  <si>
    <t>1+1=418</t>
  </si>
  <si>
    <t>1+1=419</t>
  </si>
  <si>
    <t>1+1=420</t>
  </si>
  <si>
    <t>1+1=421</t>
  </si>
  <si>
    <t>1+1=422</t>
  </si>
  <si>
    <t>1+1=423</t>
  </si>
  <si>
    <t>1+1=424</t>
  </si>
  <si>
    <t>1+1=425</t>
  </si>
  <si>
    <t>1+1=426</t>
  </si>
  <si>
    <t>1+1=427</t>
  </si>
  <si>
    <t>1+1=428</t>
  </si>
  <si>
    <t>1+1=429</t>
  </si>
  <si>
    <t>1+1=430</t>
  </si>
  <si>
    <t>1+1=431</t>
  </si>
  <si>
    <t>1+1=432</t>
  </si>
  <si>
    <t>1+1=433</t>
  </si>
  <si>
    <t>1+1=434</t>
  </si>
  <si>
    <t>1+1=435</t>
  </si>
  <si>
    <t>1+1=436</t>
  </si>
  <si>
    <t>1+1=437</t>
  </si>
  <si>
    <t>1+1=438</t>
  </si>
  <si>
    <t>1+1=439</t>
  </si>
  <si>
    <t>1+1=440</t>
  </si>
  <si>
    <t>1+1=441</t>
  </si>
  <si>
    <t>FIVE</t>
  </si>
  <si>
    <t>1+1=442</t>
  </si>
  <si>
    <t>1+1=443</t>
  </si>
  <si>
    <t>1+1=444</t>
  </si>
  <si>
    <t>1+1=445</t>
  </si>
  <si>
    <t>1+1=446</t>
  </si>
  <si>
    <t>1+1=447</t>
  </si>
  <si>
    <t>1+1=448</t>
  </si>
  <si>
    <t>1+1=449</t>
  </si>
  <si>
    <t>1+1=450</t>
  </si>
  <si>
    <t>1+1=451</t>
  </si>
  <si>
    <t>1+1=452</t>
  </si>
  <si>
    <t>1+1=453</t>
  </si>
  <si>
    <t>1+1=454</t>
  </si>
  <si>
    <t>1+1=455</t>
  </si>
  <si>
    <t>1+1=456</t>
  </si>
  <si>
    <t>1+1=457</t>
  </si>
  <si>
    <t>1+1=458</t>
  </si>
  <si>
    <t>1+1=459</t>
  </si>
  <si>
    <t>1+1=460</t>
  </si>
  <si>
    <t>1+1=461</t>
  </si>
  <si>
    <t>1+1=462</t>
  </si>
  <si>
    <t>1+1=463</t>
  </si>
  <si>
    <t>1+1=464</t>
  </si>
  <si>
    <t>1+1=465</t>
  </si>
  <si>
    <t>1+1=466</t>
  </si>
  <si>
    <t>1+1=467</t>
  </si>
  <si>
    <t>1+1=468</t>
  </si>
  <si>
    <t>1+1=469</t>
  </si>
  <si>
    <t>1+1=470</t>
  </si>
  <si>
    <t>1+1=471</t>
  </si>
  <si>
    <t>1+1=472</t>
  </si>
  <si>
    <t>1+1=473</t>
  </si>
  <si>
    <t>1+1=474</t>
  </si>
  <si>
    <t>1+1=475</t>
  </si>
  <si>
    <t>1+1=476</t>
  </si>
  <si>
    <t>1+1=477</t>
  </si>
  <si>
    <t>1+1=478</t>
  </si>
  <si>
    <t>1+1=479</t>
  </si>
  <si>
    <t>1+1=480</t>
  </si>
  <si>
    <t>1+1=481</t>
  </si>
  <si>
    <t>1+1=482</t>
  </si>
  <si>
    <t>1+1=483</t>
  </si>
  <si>
    <t>1+1=484</t>
  </si>
  <si>
    <t>1+1=485</t>
  </si>
  <si>
    <t>1+1=486</t>
  </si>
  <si>
    <t>1+1=487</t>
  </si>
  <si>
    <t>1+1=488</t>
  </si>
  <si>
    <t>1+1=489</t>
  </si>
  <si>
    <t>1+1=490</t>
  </si>
  <si>
    <t>1+1=491</t>
  </si>
  <si>
    <t>1+1=492</t>
  </si>
  <si>
    <t>1+1=493</t>
  </si>
  <si>
    <t>1+1=494</t>
  </si>
  <si>
    <t>1+1=495</t>
  </si>
  <si>
    <t>1+1=496</t>
  </si>
  <si>
    <t>1+1=497</t>
  </si>
  <si>
    <t>1+1=498</t>
  </si>
  <si>
    <t>1+1=499</t>
  </si>
  <si>
    <t>1+1=500</t>
  </si>
  <si>
    <t>1+1=501</t>
  </si>
  <si>
    <t>1+1=502</t>
  </si>
  <si>
    <t>1+1=503</t>
  </si>
  <si>
    <t>1+1=504</t>
  </si>
  <si>
    <t>1+1=505</t>
  </si>
  <si>
    <t>1+1=506</t>
  </si>
  <si>
    <t>1+1=507</t>
  </si>
  <si>
    <t>1+1=508</t>
  </si>
  <si>
    <t>1+1=509</t>
  </si>
  <si>
    <t>1+1=510</t>
  </si>
  <si>
    <t>1+1=511</t>
  </si>
  <si>
    <t>1+1=512</t>
  </si>
  <si>
    <t>1+1=513</t>
  </si>
  <si>
    <t>1+1=514</t>
  </si>
  <si>
    <t>1+1=515</t>
  </si>
  <si>
    <t>1+1=516</t>
  </si>
  <si>
    <t>1+1=517</t>
  </si>
  <si>
    <t>1+1=518</t>
  </si>
  <si>
    <t>1+1=519</t>
  </si>
  <si>
    <t>1+1=520</t>
  </si>
  <si>
    <t>1+1=521</t>
  </si>
  <si>
    <t>1+1=522</t>
  </si>
  <si>
    <t>1+1=523</t>
  </si>
  <si>
    <t>1+1=524</t>
  </si>
  <si>
    <t>1+1=525</t>
  </si>
  <si>
    <t>1+1=526</t>
  </si>
  <si>
    <t>1+1=527</t>
  </si>
  <si>
    <t>1+1=528</t>
  </si>
  <si>
    <t>1+1=529</t>
  </si>
  <si>
    <t>1+1=530</t>
  </si>
  <si>
    <t>1+1=531</t>
  </si>
  <si>
    <t>1+1=532</t>
  </si>
  <si>
    <t>1+1=533</t>
  </si>
  <si>
    <t>1+1=534</t>
  </si>
  <si>
    <t>1+1=535</t>
  </si>
  <si>
    <t>1+1=536</t>
  </si>
  <si>
    <t>1+1=537</t>
  </si>
  <si>
    <t>1+1=538</t>
  </si>
  <si>
    <t>1+1=539</t>
  </si>
  <si>
    <t>1+1=540</t>
  </si>
  <si>
    <t>1+1=541</t>
  </si>
  <si>
    <t>1+1=542</t>
  </si>
  <si>
    <t>1+1=543</t>
  </si>
  <si>
    <t>1+1=544</t>
  </si>
  <si>
    <t>1+1=545</t>
  </si>
  <si>
    <t>1+1=546</t>
  </si>
  <si>
    <t>1+1=547</t>
  </si>
  <si>
    <t>1+1=548</t>
  </si>
  <si>
    <t>1+1=549</t>
  </si>
  <si>
    <t>1+1=550</t>
  </si>
  <si>
    <t>1+1=551</t>
  </si>
  <si>
    <t>1+1=552</t>
  </si>
  <si>
    <t>1+1=553</t>
  </si>
  <si>
    <t>1+1=554</t>
  </si>
  <si>
    <t>1+1=555</t>
  </si>
  <si>
    <t>1+1=556</t>
  </si>
  <si>
    <t>1+1=557</t>
  </si>
  <si>
    <t>1+1=558</t>
  </si>
  <si>
    <t>1+1=559</t>
  </si>
  <si>
    <t>1+1=560</t>
  </si>
  <si>
    <t>1+1=561</t>
  </si>
  <si>
    <t>1+1=562</t>
  </si>
  <si>
    <t>1+1=563</t>
  </si>
  <si>
    <t>1+1=564</t>
  </si>
  <si>
    <t>1+1=565</t>
  </si>
  <si>
    <t>1+1=566</t>
  </si>
  <si>
    <t>1+1=567</t>
  </si>
  <si>
    <t>1+1=568</t>
  </si>
  <si>
    <t>1+1=569</t>
  </si>
  <si>
    <t>1+1=570</t>
  </si>
  <si>
    <t>1+1=571</t>
  </si>
  <si>
    <t>1+1=572</t>
  </si>
  <si>
    <t>1+1=573</t>
  </si>
  <si>
    <t>1+1=574</t>
  </si>
  <si>
    <t>1+1=575</t>
  </si>
  <si>
    <t>1+1=576</t>
  </si>
  <si>
    <t>1+1=577</t>
  </si>
  <si>
    <t>1+1=578</t>
  </si>
  <si>
    <t>1+1=579</t>
  </si>
  <si>
    <t>1+1=580</t>
  </si>
  <si>
    <t>1+1=581</t>
  </si>
  <si>
    <t>1+1=582</t>
  </si>
  <si>
    <t>1+1=583</t>
  </si>
  <si>
    <t>1+1=584</t>
  </si>
  <si>
    <t>1+1=585</t>
  </si>
  <si>
    <t>1+1=586</t>
  </si>
  <si>
    <t>1+1=587</t>
  </si>
  <si>
    <t>1+1=588</t>
  </si>
  <si>
    <t>1+1=589</t>
  </si>
  <si>
    <t>1+1=590</t>
  </si>
  <si>
    <t>1+1=591</t>
  </si>
  <si>
    <t>1+1=592</t>
  </si>
  <si>
    <t>1+1=593</t>
  </si>
  <si>
    <t>1+1=594</t>
  </si>
  <si>
    <t>1+1=595</t>
  </si>
  <si>
    <t>1+1=596</t>
  </si>
  <si>
    <t>1+1=597</t>
  </si>
  <si>
    <t>1+1=598</t>
  </si>
  <si>
    <t>1+1=599</t>
  </si>
  <si>
    <t>1+1=600</t>
  </si>
  <si>
    <t>1+1=601</t>
  </si>
  <si>
    <t>ONE</t>
  </si>
  <si>
    <t>1+1=602</t>
  </si>
  <si>
    <t>1+1=603</t>
  </si>
  <si>
    <t>1+1=604</t>
  </si>
  <si>
    <t>1+1=605</t>
  </si>
  <si>
    <t>1+1=606</t>
  </si>
  <si>
    <t>1+1=607</t>
  </si>
  <si>
    <t>1+1=608</t>
  </si>
  <si>
    <t>1+1=609</t>
  </si>
  <si>
    <t>1+1=610</t>
  </si>
  <si>
    <t>1+1=611</t>
  </si>
  <si>
    <t>1+1=612</t>
  </si>
  <si>
    <t>1+1=613</t>
  </si>
  <si>
    <t>1+1=614</t>
  </si>
  <si>
    <t>1+1=615</t>
  </si>
  <si>
    <t>1+1=616</t>
  </si>
  <si>
    <t>1+1=617</t>
  </si>
  <si>
    <t>1+1=618</t>
  </si>
  <si>
    <t>1+1=619</t>
  </si>
  <si>
    <t>1+1=620</t>
  </si>
  <si>
    <t>1+1=621</t>
  </si>
  <si>
    <t>1+1=622</t>
  </si>
  <si>
    <t>1+1=623</t>
  </si>
  <si>
    <t>1+1=624</t>
  </si>
  <si>
    <t>1+1=625</t>
  </si>
  <si>
    <t>1+1=626</t>
  </si>
  <si>
    <t>1+1=627</t>
  </si>
  <si>
    <t>1+1=628</t>
  </si>
  <si>
    <t>1+1=629</t>
  </si>
  <si>
    <t>1+1=630</t>
  </si>
  <si>
    <t>1+1=631</t>
  </si>
  <si>
    <t>1+1=632</t>
  </si>
  <si>
    <t>1+1=633</t>
  </si>
  <si>
    <t>1+1=634</t>
  </si>
  <si>
    <t>1+1=635</t>
  </si>
  <si>
    <t>1+1=636</t>
  </si>
  <si>
    <t>1+1=637</t>
  </si>
  <si>
    <t>1+1=638</t>
  </si>
  <si>
    <t>1+1=639</t>
  </si>
  <si>
    <t>1+1=640</t>
  </si>
  <si>
    <t>1+1=641</t>
  </si>
  <si>
    <t>1+1=642</t>
  </si>
  <si>
    <t>1+1=643</t>
  </si>
  <si>
    <t>1+1=644</t>
  </si>
  <si>
    <t>1+1=645</t>
  </si>
  <si>
    <t>1+1=646</t>
  </si>
  <si>
    <t>1+1=647</t>
  </si>
  <si>
    <t>1+1=648</t>
  </si>
  <si>
    <t>1+1=649</t>
  </si>
  <si>
    <t>1+1=650</t>
  </si>
  <si>
    <t>1+1=651</t>
  </si>
  <si>
    <t>1+1=652</t>
  </si>
  <si>
    <t>1+1=653</t>
  </si>
  <si>
    <t>1+1=654</t>
  </si>
  <si>
    <t>1+1=655</t>
  </si>
  <si>
    <t>1+1=656</t>
  </si>
  <si>
    <t>1+1=657</t>
  </si>
  <si>
    <t>1+1=658</t>
  </si>
  <si>
    <t>1+1=659</t>
  </si>
  <si>
    <t>1+1=660</t>
  </si>
  <si>
    <t>1+1=661</t>
  </si>
  <si>
    <t>1+1=662</t>
  </si>
  <si>
    <t>1+1=663</t>
  </si>
  <si>
    <t>1+1=664</t>
  </si>
  <si>
    <t>1+1=665</t>
  </si>
  <si>
    <t>1+1=666</t>
  </si>
  <si>
    <t>1+1=667</t>
  </si>
  <si>
    <t>1+1=668</t>
  </si>
  <si>
    <t>1+1=669</t>
  </si>
  <si>
    <t>1+1=670</t>
  </si>
  <si>
    <t>1+1=671</t>
  </si>
  <si>
    <t>1+1=672</t>
  </si>
  <si>
    <t>1+1=673</t>
  </si>
  <si>
    <t>1+1=674</t>
  </si>
  <si>
    <t>1+1=675</t>
  </si>
  <si>
    <t>1+1=676</t>
  </si>
  <si>
    <t>1+1=677</t>
  </si>
  <si>
    <t>1+1=678</t>
  </si>
  <si>
    <t>1+1=679</t>
  </si>
  <si>
    <t>1+1=680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</si>
</sst>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351C75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theme="5" tint="0.4"/>
        <bgColor rgb="FFB6D7A8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5"/>
        <bgColor rgb="FFFFFF00"/>
      </patternFill>
    </fill>
    <fill>
      <patternFill patternType="solid">
        <fgColor theme="2" tint="-0.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rgb="FFB6D7A8"/>
      </patternFill>
    </fill>
    <fill>
      <patternFill patternType="solid">
        <fgColor theme="0" tint="-0.05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/>
    <xf numFmtId="0" fontId="0" fillId="2" borderId="0" xfId="0" applyFont="1" applyFill="1"/>
    <xf numFmtId="0" fontId="1" fillId="4" borderId="0" xfId="0" applyFont="1" applyFill="1"/>
    <xf numFmtId="0" fontId="0" fillId="0" borderId="0" xfId="0" applyFont="1"/>
    <xf numFmtId="0" fontId="0" fillId="5" borderId="0" xfId="0" applyFont="1" applyFill="1" applyAlignment="1"/>
    <xf numFmtId="0" fontId="0" fillId="6" borderId="0" xfId="0" applyFont="1" applyFill="1" applyAlignment="1"/>
    <xf numFmtId="0" fontId="0" fillId="6" borderId="0" xfId="0" applyFont="1" applyFill="1"/>
    <xf numFmtId="0" fontId="2" fillId="6" borderId="0" xfId="0" applyFont="1" applyFill="1" applyAlignment="1">
      <alignment horizontal="right"/>
    </xf>
    <xf numFmtId="0" fontId="0" fillId="2" borderId="0" xfId="0" applyFont="1" applyFill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2" xfId="0" applyFont="1" applyFill="1" applyBorder="1" applyAlignment="1"/>
    <xf numFmtId="0" fontId="1" fillId="0" borderId="1" xfId="0" applyFont="1" applyFill="1" applyBorder="1" applyAlignment="1"/>
    <xf numFmtId="0" fontId="1" fillId="6" borderId="0" xfId="0" applyFont="1" applyFill="1" applyAlignment="1"/>
    <xf numFmtId="0" fontId="0" fillId="7" borderId="0" xfId="0" applyFont="1" applyFill="1" applyAlignment="1"/>
    <xf numFmtId="0" fontId="3" fillId="8" borderId="0" xfId="0" applyFont="1" applyFill="1"/>
    <xf numFmtId="0" fontId="2" fillId="9" borderId="0" xfId="0" applyFont="1" applyFill="1" applyAlignment="1">
      <alignment horizontal="right"/>
    </xf>
    <xf numFmtId="0" fontId="3" fillId="8" borderId="0" xfId="0" applyFont="1" applyFill="1" applyAlignment="1"/>
    <xf numFmtId="0" fontId="3" fillId="10" borderId="0" xfId="0" applyFont="1" applyFill="1" applyAlignment="1"/>
    <xf numFmtId="0" fontId="0" fillId="9" borderId="0" xfId="0" applyFont="1" applyFill="1" applyAlignment="1"/>
    <xf numFmtId="0" fontId="2" fillId="6" borderId="0" xfId="0" applyFont="1" applyFill="1" applyAlignment="1"/>
    <xf numFmtId="0" fontId="0" fillId="11" borderId="0" xfId="0" applyFont="1" applyFill="1" applyAlignment="1"/>
    <xf numFmtId="0" fontId="4" fillId="0" borderId="0" xfId="0" applyFont="1" applyAlignment="1">
      <alignment horizontal="right"/>
    </xf>
    <xf numFmtId="0" fontId="4" fillId="6" borderId="0" xfId="0" applyFont="1" applyFill="1" applyAlignment="1">
      <alignment horizontal="right"/>
    </xf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56" zoomScaleNormal="56" topLeftCell="A241" workbookViewId="0">
      <selection activeCell="G287" sqref="G287"/>
    </sheetView>
  </sheetViews>
  <sheetFormatPr defaultColWidth="14.4259259259259" defaultRowHeight="15" customHeight="1"/>
  <cols>
    <col min="1" max="1" width="13.287037037037" customWidth="1"/>
    <col min="2" max="2" width="6.57407407407407" customWidth="1"/>
    <col min="3" max="3" width="9.13888888888889" customWidth="1"/>
    <col min="4" max="4" width="9.42592592592593" customWidth="1"/>
    <col min="5" max="5" width="4.86111111111111" customWidth="1"/>
    <col min="6" max="6" width="4.71296296296296" customWidth="1"/>
    <col min="7" max="7" width="5.28703703703704" customWidth="1"/>
    <col min="8" max="8" width="21.287037037037" customWidth="1"/>
    <col min="9" max="9" width="5.71296296296296" customWidth="1"/>
    <col min="10" max="11" width="5.13888888888889" customWidth="1"/>
    <col min="12" max="12" width="18" customWidth="1"/>
    <col min="13" max="13" width="16.8611111111111" customWidth="1"/>
    <col min="14" max="14" width="11.712962962963" customWidth="1"/>
    <col min="15" max="15" width="16.4259259259259" customWidth="1"/>
    <col min="16" max="16" width="9" customWidth="1"/>
    <col min="17" max="17" width="16" customWidth="1"/>
    <col min="18" max="26" width="9" customWidth="1"/>
  </cols>
  <sheetData>
    <row r="1" ht="14.25" customHeight="1" spans="1:24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 t="s">
        <v>4</v>
      </c>
      <c r="J1" s="2"/>
      <c r="K1" s="2"/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13" t="s">
        <v>12</v>
      </c>
      <c r="T1" s="14"/>
      <c r="U1" s="15"/>
      <c r="V1" s="15"/>
      <c r="W1" s="15"/>
      <c r="X1" s="15"/>
    </row>
    <row r="2" ht="14.25" customHeight="1" spans="1:24">
      <c r="A2" s="3"/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 t="s">
        <v>16</v>
      </c>
      <c r="J2" s="4" t="s">
        <v>17</v>
      </c>
      <c r="K2" s="4" t="s">
        <v>19</v>
      </c>
      <c r="S2" s="16" t="s">
        <v>20</v>
      </c>
      <c r="T2" s="16" t="s">
        <v>21</v>
      </c>
      <c r="U2" s="16" t="s">
        <v>22</v>
      </c>
      <c r="V2" s="15"/>
      <c r="W2" s="17" t="s">
        <v>23</v>
      </c>
      <c r="X2" s="17" t="s">
        <v>21</v>
      </c>
    </row>
    <row r="3" ht="14.25" customHeight="1" spans="1:24">
      <c r="A3" s="3"/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f t="shared" ref="H3:H683" si="0">E3+F3/60+G3/3600</f>
        <v>0</v>
      </c>
      <c r="I3" s="5">
        <v>0</v>
      </c>
      <c r="J3" s="5">
        <v>0</v>
      </c>
      <c r="K3" s="5">
        <v>0</v>
      </c>
      <c r="L3" s="5">
        <f t="shared" ref="L3:L683" si="1">I3+J3/60+K3/3600</f>
        <v>0</v>
      </c>
      <c r="M3" s="5">
        <f t="shared" ref="M3:M139" si="2">100*(B3-D3)*SIN(RADIANS(L3))^2</f>
        <v>0</v>
      </c>
      <c r="N3" s="5">
        <f t="shared" ref="N3:N139" si="3">100*(B3-D3)*SIN(RADIANS(L3))*COS(RADIANS(L3))</f>
        <v>0</v>
      </c>
      <c r="O3" s="5">
        <v>0</v>
      </c>
      <c r="P3" s="5">
        <v>0</v>
      </c>
      <c r="Q3" s="5">
        <f t="shared" ref="Q3:Q139" si="4">P3+O3+N3-C3</f>
        <v>0</v>
      </c>
      <c r="S3" s="15">
        <v>355826.953</v>
      </c>
      <c r="T3" s="15">
        <v>3055780.357</v>
      </c>
      <c r="U3" s="15">
        <v>173.6</v>
      </c>
      <c r="V3" s="15"/>
      <c r="W3" s="15">
        <f>$S$3+(H3*SIN(U3*3.141592654/180))</f>
        <v>355826.953</v>
      </c>
      <c r="X3" s="15">
        <f>$T$3+(H3*COS(U3*3.141592654/180))</f>
        <v>3055780.357</v>
      </c>
    </row>
    <row r="4" ht="14.25" customHeight="1" spans="1:25">
      <c r="A4" s="6" t="s">
        <v>24</v>
      </c>
      <c r="B4" s="7">
        <v>1.036</v>
      </c>
      <c r="C4" s="7">
        <v>1.018</v>
      </c>
      <c r="D4" s="8">
        <v>1</v>
      </c>
      <c r="E4" s="9">
        <v>358</v>
      </c>
      <c r="F4" s="9">
        <v>32</v>
      </c>
      <c r="G4" s="9">
        <v>5</v>
      </c>
      <c r="H4" s="8">
        <f t="shared" si="0"/>
        <v>358.534722222222</v>
      </c>
      <c r="I4" s="9">
        <v>94</v>
      </c>
      <c r="J4" s="9">
        <v>28</v>
      </c>
      <c r="K4" s="9">
        <v>49</v>
      </c>
      <c r="L4" s="8">
        <f t="shared" si="1"/>
        <v>94.4802777777778</v>
      </c>
      <c r="M4" s="8">
        <f t="shared" si="2"/>
        <v>3.57803244280845</v>
      </c>
      <c r="N4" s="8">
        <f t="shared" si="3"/>
        <v>-0.28035804308172</v>
      </c>
      <c r="O4" s="7">
        <v>1.34</v>
      </c>
      <c r="P4" s="7">
        <v>1519.721</v>
      </c>
      <c r="Q4" s="8">
        <f t="shared" si="4"/>
        <v>1519.76264195692</v>
      </c>
      <c r="R4" s="18" t="s">
        <v>25</v>
      </c>
      <c r="S4" s="7"/>
      <c r="T4" s="7"/>
      <c r="U4" s="7">
        <v>174.6</v>
      </c>
      <c r="V4" s="7"/>
      <c r="W4" s="7">
        <f t="shared" ref="W4:W35" si="5">$S$3+(H4*SIN(U4*3.141592654/180))</f>
        <v>355860.694097832</v>
      </c>
      <c r="X4" s="7">
        <f t="shared" ref="X4:X35" si="6">$T$3+(H4*COS(U4*3.141592654/180))</f>
        <v>3055423.41346755</v>
      </c>
      <c r="Y4" s="7"/>
    </row>
    <row r="5" ht="14.25" customHeight="1" spans="1:24">
      <c r="A5" s="10" t="s">
        <v>26</v>
      </c>
      <c r="B5">
        <v>1.064</v>
      </c>
      <c r="C5">
        <v>1.032</v>
      </c>
      <c r="D5" s="5">
        <v>1</v>
      </c>
      <c r="E5" s="11">
        <v>4</v>
      </c>
      <c r="F5" s="11">
        <v>39</v>
      </c>
      <c r="G5" s="11">
        <v>33</v>
      </c>
      <c r="H5" s="5">
        <f t="shared" si="0"/>
        <v>4.65916666666667</v>
      </c>
      <c r="I5" s="11">
        <v>92</v>
      </c>
      <c r="J5" s="11">
        <v>0</v>
      </c>
      <c r="K5" s="11">
        <v>36</v>
      </c>
      <c r="L5" s="5">
        <f t="shared" si="1"/>
        <v>92.01</v>
      </c>
      <c r="M5" s="5">
        <f t="shared" si="2"/>
        <v>6.39212684762373</v>
      </c>
      <c r="N5" s="5">
        <f t="shared" si="3"/>
        <v>-0.224334992098489</v>
      </c>
      <c r="O5">
        <v>1.34</v>
      </c>
      <c r="P5">
        <v>1519.721</v>
      </c>
      <c r="Q5" s="5">
        <f t="shared" si="4"/>
        <v>1519.8046650079</v>
      </c>
      <c r="U5" s="15">
        <v>175.6</v>
      </c>
      <c r="W5" s="15">
        <f t="shared" si="5"/>
        <v>355827.310446737</v>
      </c>
      <c r="X5" s="15">
        <f t="shared" si="6"/>
        <v>3055775.71156505</v>
      </c>
    </row>
    <row r="6" ht="14.25" customHeight="1" spans="1:24">
      <c r="A6" s="10" t="s">
        <v>27</v>
      </c>
      <c r="B6">
        <v>1.096</v>
      </c>
      <c r="C6">
        <v>1.047</v>
      </c>
      <c r="D6" s="5">
        <v>1</v>
      </c>
      <c r="E6" s="11">
        <v>16</v>
      </c>
      <c r="F6" s="11">
        <v>0</v>
      </c>
      <c r="G6" s="11">
        <v>24</v>
      </c>
      <c r="H6" s="5">
        <f t="shared" si="0"/>
        <v>16.0066666666667</v>
      </c>
      <c r="I6" s="11">
        <v>90</v>
      </c>
      <c r="J6" s="11">
        <v>26</v>
      </c>
      <c r="K6" s="11">
        <v>34</v>
      </c>
      <c r="L6" s="5">
        <f t="shared" si="1"/>
        <v>90.4427777777778</v>
      </c>
      <c r="M6" s="5">
        <f t="shared" si="2"/>
        <v>9.59942669074157</v>
      </c>
      <c r="N6" s="5">
        <f t="shared" si="3"/>
        <v>-0.074185175052011</v>
      </c>
      <c r="O6">
        <v>1.34</v>
      </c>
      <c r="P6">
        <v>1519.721</v>
      </c>
      <c r="Q6" s="5">
        <f t="shared" si="4"/>
        <v>1519.93981482495</v>
      </c>
      <c r="U6" s="15">
        <v>176.6</v>
      </c>
      <c r="W6" s="15">
        <f t="shared" si="5"/>
        <v>355827.902297347</v>
      </c>
      <c r="X6" s="15">
        <f t="shared" si="6"/>
        <v>3055764.37850782</v>
      </c>
    </row>
    <row r="7" ht="14.25" customHeight="1" spans="1:24">
      <c r="A7" s="10" t="s">
        <v>28</v>
      </c>
      <c r="B7">
        <v>1.101</v>
      </c>
      <c r="C7">
        <v>1.051</v>
      </c>
      <c r="D7" s="5">
        <v>1</v>
      </c>
      <c r="E7" s="11">
        <v>22</v>
      </c>
      <c r="F7" s="11">
        <v>56</v>
      </c>
      <c r="G7" s="11">
        <v>11</v>
      </c>
      <c r="H7" s="5">
        <f t="shared" si="0"/>
        <v>22.9363888888889</v>
      </c>
      <c r="I7" s="11">
        <v>90</v>
      </c>
      <c r="J7" s="11">
        <v>16</v>
      </c>
      <c r="K7" s="11">
        <v>34</v>
      </c>
      <c r="L7" s="5">
        <f t="shared" si="1"/>
        <v>90.2761111111111</v>
      </c>
      <c r="M7" s="5">
        <f t="shared" si="2"/>
        <v>10.099765447258</v>
      </c>
      <c r="N7" s="5">
        <f t="shared" si="3"/>
        <v>-0.0486716311516971</v>
      </c>
      <c r="O7">
        <v>1.34</v>
      </c>
      <c r="P7">
        <v>1519.721</v>
      </c>
      <c r="Q7" s="5">
        <f t="shared" si="4"/>
        <v>1519.96132836885</v>
      </c>
      <c r="U7" s="15">
        <v>177.6</v>
      </c>
      <c r="W7" s="15">
        <f t="shared" si="5"/>
        <v>355827.91347627</v>
      </c>
      <c r="X7" s="15">
        <f t="shared" si="6"/>
        <v>3055757.44073022</v>
      </c>
    </row>
    <row r="8" ht="14.25" customHeight="1" spans="1:24">
      <c r="A8" s="10" t="s">
        <v>29</v>
      </c>
      <c r="B8">
        <v>1.164</v>
      </c>
      <c r="C8">
        <v>1.082</v>
      </c>
      <c r="D8" s="5">
        <v>1</v>
      </c>
      <c r="E8" s="11">
        <v>10</v>
      </c>
      <c r="F8" s="11">
        <v>7</v>
      </c>
      <c r="G8" s="11">
        <v>54</v>
      </c>
      <c r="H8" s="5">
        <f t="shared" si="0"/>
        <v>10.1316666666667</v>
      </c>
      <c r="I8" s="11">
        <v>88</v>
      </c>
      <c r="J8" s="11">
        <v>54</v>
      </c>
      <c r="K8" s="11">
        <v>35</v>
      </c>
      <c r="L8" s="5">
        <f t="shared" si="1"/>
        <v>88.9097222222222</v>
      </c>
      <c r="M8" s="5">
        <f t="shared" si="2"/>
        <v>16.3940622694762</v>
      </c>
      <c r="N8" s="5">
        <f t="shared" si="3"/>
        <v>0.311999237093311</v>
      </c>
      <c r="O8">
        <v>1.34</v>
      </c>
      <c r="P8">
        <v>1519.721</v>
      </c>
      <c r="Q8" s="5">
        <f t="shared" si="4"/>
        <v>1520.29099923709</v>
      </c>
      <c r="U8" s="15">
        <v>178.6</v>
      </c>
      <c r="W8" s="15">
        <f t="shared" si="5"/>
        <v>355827.200538681</v>
      </c>
      <c r="X8" s="15">
        <f t="shared" si="6"/>
        <v>3055770.22835774</v>
      </c>
    </row>
    <row r="9" ht="14.25" customHeight="1" spans="1:24">
      <c r="A9" s="10" t="s">
        <v>30</v>
      </c>
      <c r="B9">
        <v>1.167</v>
      </c>
      <c r="C9">
        <v>1.083</v>
      </c>
      <c r="D9" s="5">
        <v>1</v>
      </c>
      <c r="E9" s="11">
        <v>13</v>
      </c>
      <c r="F9" s="11">
        <v>57</v>
      </c>
      <c r="G9" s="11">
        <v>34</v>
      </c>
      <c r="H9" s="5">
        <f t="shared" si="0"/>
        <v>13.9594444444444</v>
      </c>
      <c r="I9" s="11">
        <v>88</v>
      </c>
      <c r="J9" s="11">
        <v>59</v>
      </c>
      <c r="K9" s="11">
        <v>28</v>
      </c>
      <c r="L9" s="5">
        <f t="shared" si="1"/>
        <v>88.9911111111111</v>
      </c>
      <c r="M9" s="5">
        <f t="shared" si="2"/>
        <v>16.6948225847487</v>
      </c>
      <c r="N9" s="5">
        <f t="shared" si="3"/>
        <v>0.29400004943617</v>
      </c>
      <c r="O9">
        <v>1.34</v>
      </c>
      <c r="P9">
        <v>1519.721</v>
      </c>
      <c r="Q9" s="5">
        <f t="shared" si="4"/>
        <v>1520.27200004944</v>
      </c>
      <c r="U9" s="15">
        <v>179.6</v>
      </c>
      <c r="W9" s="15">
        <f t="shared" si="5"/>
        <v>355827.05045451</v>
      </c>
      <c r="X9" s="15">
        <f t="shared" si="6"/>
        <v>3055766.39789574</v>
      </c>
    </row>
    <row r="10" ht="14.25" customHeight="1" spans="1:24">
      <c r="A10" s="10" t="s">
        <v>31</v>
      </c>
      <c r="B10">
        <v>1.136</v>
      </c>
      <c r="C10">
        <v>1.068</v>
      </c>
      <c r="D10" s="5">
        <v>1</v>
      </c>
      <c r="E10" s="11">
        <v>11</v>
      </c>
      <c r="F10" s="11">
        <v>20</v>
      </c>
      <c r="G10" s="11">
        <v>43</v>
      </c>
      <c r="H10" s="5">
        <f t="shared" si="0"/>
        <v>11.3452777777778</v>
      </c>
      <c r="I10" s="11">
        <v>89</v>
      </c>
      <c r="J10" s="11">
        <v>31</v>
      </c>
      <c r="K10" s="11">
        <v>42</v>
      </c>
      <c r="L10" s="5">
        <f t="shared" si="1"/>
        <v>89.5283333333333</v>
      </c>
      <c r="M10" s="5">
        <f t="shared" si="2"/>
        <v>13.5990783750924</v>
      </c>
      <c r="N10" s="5">
        <f t="shared" si="3"/>
        <v>0.111951995744318</v>
      </c>
      <c r="O10">
        <v>1.34</v>
      </c>
      <c r="P10">
        <v>1519.721</v>
      </c>
      <c r="Q10" s="5">
        <f t="shared" si="4"/>
        <v>1520.10495199574</v>
      </c>
      <c r="U10" s="15">
        <v>180.6</v>
      </c>
      <c r="W10" s="15">
        <f t="shared" si="5"/>
        <v>355826.834194696</v>
      </c>
      <c r="X10" s="15">
        <f t="shared" si="6"/>
        <v>3055769.01234429</v>
      </c>
    </row>
    <row r="11" ht="14.25" customHeight="1" spans="1:24">
      <c r="A11" s="10" t="s">
        <v>32</v>
      </c>
      <c r="B11">
        <v>1.138</v>
      </c>
      <c r="C11">
        <v>1.064</v>
      </c>
      <c r="D11" s="5">
        <v>1</v>
      </c>
      <c r="E11" s="11">
        <v>16</v>
      </c>
      <c r="F11" s="11">
        <v>39</v>
      </c>
      <c r="G11" s="11">
        <v>56</v>
      </c>
      <c r="H11" s="5">
        <f t="shared" si="0"/>
        <v>16.6655555555556</v>
      </c>
      <c r="I11" s="11">
        <v>89</v>
      </c>
      <c r="J11" s="11">
        <v>21</v>
      </c>
      <c r="K11" s="11">
        <v>7</v>
      </c>
      <c r="L11" s="5">
        <f t="shared" si="1"/>
        <v>89.3519444444444</v>
      </c>
      <c r="M11" s="5">
        <f t="shared" si="2"/>
        <v>13.7982346135963</v>
      </c>
      <c r="N11" s="5">
        <f t="shared" si="3"/>
        <v>0.156074391819794</v>
      </c>
      <c r="O11">
        <v>1.34</v>
      </c>
      <c r="P11">
        <v>1519.721</v>
      </c>
      <c r="Q11" s="5">
        <f t="shared" si="4"/>
        <v>1520.15307439182</v>
      </c>
      <c r="U11" s="15">
        <v>181.6</v>
      </c>
      <c r="W11" s="15">
        <f t="shared" si="5"/>
        <v>355826.487670372</v>
      </c>
      <c r="X11" s="15">
        <f t="shared" si="6"/>
        <v>3055763.69794209</v>
      </c>
    </row>
    <row r="12" ht="14.25" customHeight="1" spans="1:24">
      <c r="A12" s="10" t="s">
        <v>33</v>
      </c>
      <c r="B12">
        <v>1.16</v>
      </c>
      <c r="C12">
        <v>1.08</v>
      </c>
      <c r="D12" s="5">
        <v>1</v>
      </c>
      <c r="E12" s="11">
        <v>7</v>
      </c>
      <c r="F12" s="11">
        <v>2</v>
      </c>
      <c r="G12" s="11">
        <v>34</v>
      </c>
      <c r="H12" s="5">
        <f t="shared" si="0"/>
        <v>7.04277777777778</v>
      </c>
      <c r="I12" s="11">
        <v>89</v>
      </c>
      <c r="J12" s="11">
        <v>9</v>
      </c>
      <c r="K12" s="11">
        <v>21</v>
      </c>
      <c r="L12" s="5">
        <f t="shared" si="1"/>
        <v>89.1558333333333</v>
      </c>
      <c r="M12" s="5">
        <f t="shared" si="2"/>
        <v>15.9965270407198</v>
      </c>
      <c r="N12" s="5">
        <f t="shared" si="3"/>
        <v>0.235701690779952</v>
      </c>
      <c r="O12">
        <v>1.34</v>
      </c>
      <c r="P12">
        <v>1519.721</v>
      </c>
      <c r="Q12" s="5">
        <f t="shared" si="4"/>
        <v>1520.21670169078</v>
      </c>
      <c r="U12" s="15">
        <v>182.6</v>
      </c>
      <c r="W12" s="15">
        <f t="shared" si="5"/>
        <v>355826.633518552</v>
      </c>
      <c r="X12" s="15">
        <f t="shared" si="6"/>
        <v>3055773.32147227</v>
      </c>
    </row>
    <row r="13" ht="14.25" customHeight="1" spans="1:24">
      <c r="A13" s="10" t="s">
        <v>34</v>
      </c>
      <c r="B13">
        <v>1.165</v>
      </c>
      <c r="C13">
        <v>1.083</v>
      </c>
      <c r="D13" s="5">
        <v>1</v>
      </c>
      <c r="E13" s="11">
        <v>11</v>
      </c>
      <c r="F13" s="11">
        <v>27</v>
      </c>
      <c r="G13" s="11">
        <v>52</v>
      </c>
      <c r="H13" s="5">
        <f t="shared" si="0"/>
        <v>11.4644444444444</v>
      </c>
      <c r="I13" s="11">
        <v>89</v>
      </c>
      <c r="J13" s="11">
        <v>16</v>
      </c>
      <c r="K13" s="11">
        <v>20</v>
      </c>
      <c r="L13" s="5">
        <f t="shared" si="1"/>
        <v>89.2722222222222</v>
      </c>
      <c r="M13" s="5">
        <f t="shared" si="2"/>
        <v>16.4973379702576</v>
      </c>
      <c r="N13" s="5">
        <f t="shared" si="3"/>
        <v>0.209562411580638</v>
      </c>
      <c r="O13">
        <v>1.34</v>
      </c>
      <c r="P13">
        <v>1519.721</v>
      </c>
      <c r="Q13" s="5">
        <f t="shared" si="4"/>
        <v>1520.18756241158</v>
      </c>
      <c r="U13" s="15">
        <v>183.6</v>
      </c>
      <c r="W13" s="15">
        <f t="shared" si="5"/>
        <v>355826.233141572</v>
      </c>
      <c r="X13" s="15">
        <f t="shared" si="6"/>
        <v>3055768.91517802</v>
      </c>
    </row>
    <row r="14" ht="14.25" customHeight="1" spans="1:24">
      <c r="A14" s="10" t="s">
        <v>35</v>
      </c>
      <c r="B14">
        <v>1.183</v>
      </c>
      <c r="C14">
        <v>1.092</v>
      </c>
      <c r="D14" s="5">
        <v>1</v>
      </c>
      <c r="E14" s="11">
        <v>15</v>
      </c>
      <c r="F14" s="11">
        <v>50</v>
      </c>
      <c r="G14" s="11">
        <v>49</v>
      </c>
      <c r="H14" s="5">
        <f t="shared" si="0"/>
        <v>15.8469444444444</v>
      </c>
      <c r="I14" s="11">
        <v>89</v>
      </c>
      <c r="J14" s="11">
        <v>11</v>
      </c>
      <c r="K14" s="11">
        <v>13</v>
      </c>
      <c r="L14" s="5">
        <f t="shared" si="1"/>
        <v>89.1869444444444</v>
      </c>
      <c r="M14" s="5">
        <f t="shared" si="2"/>
        <v>18.2963151728823</v>
      </c>
      <c r="N14" s="5">
        <f t="shared" si="3"/>
        <v>0.259651224343125</v>
      </c>
      <c r="O14">
        <v>1.34</v>
      </c>
      <c r="P14">
        <v>1519.721</v>
      </c>
      <c r="Q14" s="5">
        <f t="shared" si="4"/>
        <v>1520.22865122434</v>
      </c>
      <c r="U14" s="15">
        <v>184.6</v>
      </c>
      <c r="W14" s="15">
        <f t="shared" si="5"/>
        <v>355825.682092095</v>
      </c>
      <c r="X14" s="15">
        <f t="shared" si="6"/>
        <v>3055764.56110049</v>
      </c>
    </row>
    <row r="15" ht="14.25" customHeight="1" spans="1:24">
      <c r="A15" s="10" t="s">
        <v>36</v>
      </c>
      <c r="B15">
        <v>1.138</v>
      </c>
      <c r="C15">
        <v>1.064</v>
      </c>
      <c r="D15" s="5">
        <v>1</v>
      </c>
      <c r="E15" s="11">
        <v>357</v>
      </c>
      <c r="F15" s="11">
        <v>42</v>
      </c>
      <c r="G15" s="11">
        <v>35</v>
      </c>
      <c r="H15" s="5">
        <f t="shared" si="0"/>
        <v>357.709722222222</v>
      </c>
      <c r="I15" s="11">
        <v>89</v>
      </c>
      <c r="J15" s="11">
        <v>17</v>
      </c>
      <c r="K15" s="11">
        <v>43</v>
      </c>
      <c r="L15" s="5">
        <f t="shared" si="1"/>
        <v>89.2952777777778</v>
      </c>
      <c r="M15" s="5">
        <f t="shared" si="2"/>
        <v>13.7979123972807</v>
      </c>
      <c r="N15" s="5">
        <f t="shared" si="3"/>
        <v>0.169719060336329</v>
      </c>
      <c r="O15">
        <v>1.34</v>
      </c>
      <c r="P15">
        <v>1519.721</v>
      </c>
      <c r="Q15" s="5">
        <f t="shared" si="4"/>
        <v>1520.16671906034</v>
      </c>
      <c r="U15" s="15">
        <v>185.6</v>
      </c>
      <c r="W15" s="15">
        <f t="shared" si="5"/>
        <v>355792.046647883</v>
      </c>
      <c r="X15" s="15">
        <f t="shared" si="6"/>
        <v>3055424.35448322</v>
      </c>
    </row>
    <row r="16" ht="14.25" customHeight="1" spans="1:24">
      <c r="A16" s="10" t="s">
        <v>37</v>
      </c>
      <c r="B16">
        <v>1.1</v>
      </c>
      <c r="C16">
        <v>1.065</v>
      </c>
      <c r="D16" s="5">
        <v>1</v>
      </c>
      <c r="E16" s="11">
        <v>20</v>
      </c>
      <c r="F16" s="11">
        <v>23</v>
      </c>
      <c r="G16" s="11">
        <v>35</v>
      </c>
      <c r="H16" s="5">
        <f t="shared" si="0"/>
        <v>20.3930555555556</v>
      </c>
      <c r="I16" s="11">
        <v>89</v>
      </c>
      <c r="J16" s="11">
        <v>28</v>
      </c>
      <c r="K16" s="11">
        <v>36</v>
      </c>
      <c r="L16" s="5">
        <f t="shared" si="1"/>
        <v>89.4766666666667</v>
      </c>
      <c r="M16" s="5">
        <f t="shared" si="2"/>
        <v>9.99916574378045</v>
      </c>
      <c r="N16" s="5">
        <f t="shared" si="3"/>
        <v>0.0913338174616379</v>
      </c>
      <c r="O16">
        <v>1.34</v>
      </c>
      <c r="P16">
        <v>1519.721</v>
      </c>
      <c r="Q16" s="5">
        <f t="shared" si="4"/>
        <v>1520.08733381746</v>
      </c>
      <c r="U16" s="15">
        <v>186.6</v>
      </c>
      <c r="W16" s="15">
        <f t="shared" si="5"/>
        <v>355824.609080296</v>
      </c>
      <c r="X16" s="15">
        <f t="shared" si="6"/>
        <v>3055760.099094</v>
      </c>
    </row>
    <row r="17" ht="14.25" customHeight="1" spans="1:24">
      <c r="A17" s="10" t="s">
        <v>38</v>
      </c>
      <c r="B17" s="11">
        <v>1.103</v>
      </c>
      <c r="C17">
        <v>1.051</v>
      </c>
      <c r="D17" s="5">
        <v>1</v>
      </c>
      <c r="E17">
        <v>0</v>
      </c>
      <c r="F17" s="11">
        <v>36</v>
      </c>
      <c r="G17" s="11">
        <v>26</v>
      </c>
      <c r="H17" s="5">
        <f t="shared" si="0"/>
        <v>0.607222222222222</v>
      </c>
      <c r="I17" s="11">
        <v>89</v>
      </c>
      <c r="J17" s="11">
        <v>38</v>
      </c>
      <c r="K17" s="11">
        <v>33</v>
      </c>
      <c r="L17" s="5">
        <f t="shared" si="1"/>
        <v>89.6425</v>
      </c>
      <c r="M17" s="5">
        <f t="shared" si="2"/>
        <v>10.2995990054998</v>
      </c>
      <c r="N17" s="5">
        <f t="shared" si="3"/>
        <v>0.0642657183555239</v>
      </c>
      <c r="O17">
        <v>1.32</v>
      </c>
      <c r="P17">
        <v>1519.721</v>
      </c>
      <c r="Q17" s="5">
        <f t="shared" si="4"/>
        <v>1520.05426571836</v>
      </c>
      <c r="U17" s="15">
        <v>187.6</v>
      </c>
      <c r="W17" s="15">
        <f t="shared" si="5"/>
        <v>355826.872690981</v>
      </c>
      <c r="X17" s="15">
        <f t="shared" si="6"/>
        <v>3055779.7551119</v>
      </c>
    </row>
    <row r="18" ht="14.25" customHeight="1" spans="1:24">
      <c r="A18" s="10" t="s">
        <v>39</v>
      </c>
      <c r="B18" s="11">
        <v>1.075</v>
      </c>
      <c r="C18" s="11">
        <v>1.036</v>
      </c>
      <c r="D18" s="5">
        <v>1</v>
      </c>
      <c r="E18">
        <v>2</v>
      </c>
      <c r="F18" s="11">
        <v>18</v>
      </c>
      <c r="G18" s="11">
        <v>37</v>
      </c>
      <c r="H18" s="5">
        <f t="shared" si="0"/>
        <v>2.31027777777778</v>
      </c>
      <c r="I18" s="11">
        <v>90</v>
      </c>
      <c r="J18" s="11">
        <v>49</v>
      </c>
      <c r="K18" s="11">
        <v>36</v>
      </c>
      <c r="L18" s="5">
        <f t="shared" si="1"/>
        <v>90.8266666666667</v>
      </c>
      <c r="M18" s="5">
        <f t="shared" si="2"/>
        <v>7.49843884251704</v>
      </c>
      <c r="N18" s="5">
        <f t="shared" si="3"/>
        <v>-0.108195396896005</v>
      </c>
      <c r="O18">
        <v>1.32</v>
      </c>
      <c r="P18">
        <v>1519.721</v>
      </c>
      <c r="Q18" s="5">
        <f t="shared" si="4"/>
        <v>1519.8968046031</v>
      </c>
      <c r="U18" s="15">
        <v>188.6</v>
      </c>
      <c r="W18" s="15">
        <f t="shared" si="5"/>
        <v>355826.607531818</v>
      </c>
      <c r="X18" s="15">
        <f t="shared" si="6"/>
        <v>3055778.07269811</v>
      </c>
    </row>
    <row r="19" ht="14.25" customHeight="1" spans="1:24">
      <c r="A19" s="10" t="s">
        <v>40</v>
      </c>
      <c r="B19" s="11">
        <v>1.118</v>
      </c>
      <c r="C19" s="11">
        <v>1.058</v>
      </c>
      <c r="D19" s="5">
        <v>1</v>
      </c>
      <c r="E19">
        <v>30</v>
      </c>
      <c r="F19" s="11">
        <v>51</v>
      </c>
      <c r="G19" s="11">
        <v>49</v>
      </c>
      <c r="H19" s="5">
        <f t="shared" si="0"/>
        <v>30.8636111111111</v>
      </c>
      <c r="I19" s="11">
        <v>89</v>
      </c>
      <c r="J19" s="11">
        <v>36</v>
      </c>
      <c r="K19" s="11">
        <v>46</v>
      </c>
      <c r="L19" s="5">
        <f t="shared" si="1"/>
        <v>89.6127777777778</v>
      </c>
      <c r="M19" s="5">
        <f t="shared" si="2"/>
        <v>11.7994610472697</v>
      </c>
      <c r="N19" s="5">
        <f t="shared" si="3"/>
        <v>0.0797455437478182</v>
      </c>
      <c r="O19">
        <v>1.32</v>
      </c>
      <c r="P19">
        <v>1519.721</v>
      </c>
      <c r="Q19" s="5">
        <f t="shared" si="4"/>
        <v>1520.06274554375</v>
      </c>
      <c r="U19" s="15">
        <v>189.6</v>
      </c>
      <c r="W19" s="15">
        <f t="shared" si="5"/>
        <v>355821.805914243</v>
      </c>
      <c r="X19" s="15">
        <f t="shared" si="6"/>
        <v>3055749.92560176</v>
      </c>
    </row>
    <row r="20" ht="14.25" customHeight="1" spans="1:24">
      <c r="A20" s="10" t="s">
        <v>41</v>
      </c>
      <c r="B20" s="11">
        <v>1.143</v>
      </c>
      <c r="C20" s="11">
        <v>1.072</v>
      </c>
      <c r="D20" s="5">
        <v>1</v>
      </c>
      <c r="E20">
        <v>20</v>
      </c>
      <c r="F20" s="11">
        <v>36</v>
      </c>
      <c r="G20" s="11">
        <v>59</v>
      </c>
      <c r="H20" s="5">
        <f t="shared" si="0"/>
        <v>20.6163888888889</v>
      </c>
      <c r="I20" s="11">
        <v>89</v>
      </c>
      <c r="J20" s="11">
        <v>21</v>
      </c>
      <c r="K20" s="11">
        <v>42</v>
      </c>
      <c r="L20" s="5">
        <f t="shared" si="1"/>
        <v>89.3616666666667</v>
      </c>
      <c r="M20" s="5">
        <f t="shared" si="2"/>
        <v>14.2982251246771</v>
      </c>
      <c r="N20" s="5">
        <f t="shared" si="3"/>
        <v>0.159303380173549</v>
      </c>
      <c r="O20">
        <v>1.32</v>
      </c>
      <c r="P20">
        <v>1519.721</v>
      </c>
      <c r="Q20" s="5">
        <f t="shared" si="4"/>
        <v>1520.12830338017</v>
      </c>
      <c r="U20" s="15">
        <v>190.6</v>
      </c>
      <c r="W20" s="15">
        <f t="shared" si="5"/>
        <v>355823.16058741</v>
      </c>
      <c r="X20" s="15">
        <f t="shared" si="6"/>
        <v>3055760.09242259</v>
      </c>
    </row>
    <row r="21" ht="14.25" customHeight="1" spans="1:24">
      <c r="A21" s="10" t="s">
        <v>42</v>
      </c>
      <c r="B21" s="11">
        <v>1.151</v>
      </c>
      <c r="C21" s="11">
        <v>1.076</v>
      </c>
      <c r="D21" s="5">
        <v>1</v>
      </c>
      <c r="E21">
        <v>29</v>
      </c>
      <c r="F21" s="11">
        <v>28</v>
      </c>
      <c r="G21" s="11">
        <v>3</v>
      </c>
      <c r="H21" s="5">
        <f t="shared" si="0"/>
        <v>29.4675</v>
      </c>
      <c r="I21" s="11">
        <v>89</v>
      </c>
      <c r="J21" s="11">
        <v>19</v>
      </c>
      <c r="K21" s="11">
        <v>6</v>
      </c>
      <c r="L21" s="5">
        <f t="shared" si="1"/>
        <v>89.3183333333333</v>
      </c>
      <c r="M21" s="5">
        <f t="shared" si="2"/>
        <v>15.0978627500938</v>
      </c>
      <c r="N21" s="5">
        <f t="shared" si="3"/>
        <v>0.179632696761542</v>
      </c>
      <c r="O21">
        <v>1.32</v>
      </c>
      <c r="P21">
        <v>1519.721</v>
      </c>
      <c r="Q21" s="5">
        <f t="shared" si="4"/>
        <v>1520.14463269676</v>
      </c>
      <c r="U21" s="15">
        <v>191.6</v>
      </c>
      <c r="W21" s="15">
        <f t="shared" si="5"/>
        <v>355821.027736346</v>
      </c>
      <c r="X21" s="15">
        <f t="shared" si="6"/>
        <v>3055751.49136633</v>
      </c>
    </row>
    <row r="22" ht="14.25" customHeight="1" spans="1:24">
      <c r="A22" s="10" t="s">
        <v>43</v>
      </c>
      <c r="B22" s="11">
        <v>1.17</v>
      </c>
      <c r="C22" s="11">
        <v>1.085</v>
      </c>
      <c r="D22" s="5">
        <v>1</v>
      </c>
      <c r="E22">
        <v>28</v>
      </c>
      <c r="F22" s="11">
        <v>22</v>
      </c>
      <c r="G22" s="11">
        <v>38</v>
      </c>
      <c r="H22" s="5">
        <f t="shared" si="0"/>
        <v>28.3772222222222</v>
      </c>
      <c r="I22" s="11">
        <v>89</v>
      </c>
      <c r="J22" s="11">
        <v>15</v>
      </c>
      <c r="K22" s="11">
        <v>30</v>
      </c>
      <c r="L22" s="5">
        <f t="shared" si="1"/>
        <v>89.2583333333333</v>
      </c>
      <c r="M22" s="5">
        <f t="shared" si="2"/>
        <v>16.9971516266044</v>
      </c>
      <c r="N22" s="5">
        <f t="shared" si="3"/>
        <v>0.220032348745476</v>
      </c>
      <c r="O22">
        <v>1.32</v>
      </c>
      <c r="P22">
        <v>1519.721</v>
      </c>
      <c r="Q22" s="5">
        <f t="shared" si="4"/>
        <v>1520.17603234875</v>
      </c>
      <c r="U22" s="15">
        <v>192.6</v>
      </c>
      <c r="W22" s="15">
        <f t="shared" si="5"/>
        <v>355820.76270075</v>
      </c>
      <c r="X22" s="15">
        <f t="shared" si="6"/>
        <v>3055752.66319318</v>
      </c>
    </row>
    <row r="23" ht="14.25" customHeight="1" spans="1:24">
      <c r="A23" s="10" t="s">
        <v>44</v>
      </c>
      <c r="B23" s="11">
        <v>1.164</v>
      </c>
      <c r="C23" s="11">
        <v>1.083</v>
      </c>
      <c r="D23" s="5">
        <v>1</v>
      </c>
      <c r="E23">
        <v>20</v>
      </c>
      <c r="F23" s="11">
        <v>14</v>
      </c>
      <c r="G23" s="11">
        <v>54</v>
      </c>
      <c r="H23" s="5">
        <f t="shared" si="0"/>
        <v>20.2483333333333</v>
      </c>
      <c r="I23" s="11">
        <v>89</v>
      </c>
      <c r="J23" s="11">
        <v>13</v>
      </c>
      <c r="K23" s="11">
        <v>34</v>
      </c>
      <c r="L23" s="5">
        <f t="shared" si="1"/>
        <v>89.2261111111111</v>
      </c>
      <c r="M23" s="5">
        <f t="shared" si="2"/>
        <v>16.3970082217862</v>
      </c>
      <c r="N23" s="5">
        <f t="shared" si="3"/>
        <v>0.221486369713982</v>
      </c>
      <c r="O23">
        <v>1.32</v>
      </c>
      <c r="P23">
        <v>1519.721</v>
      </c>
      <c r="Q23" s="5">
        <f t="shared" si="4"/>
        <v>1520.17948636971</v>
      </c>
      <c r="U23" s="15">
        <v>193.6</v>
      </c>
      <c r="W23" s="15">
        <f t="shared" si="5"/>
        <v>355822.191764104</v>
      </c>
      <c r="X23" s="15">
        <f t="shared" si="6"/>
        <v>3055760.67640968</v>
      </c>
    </row>
    <row r="24" ht="14.25" customHeight="1" spans="1:24">
      <c r="A24" s="10" t="s">
        <v>45</v>
      </c>
      <c r="B24" s="11">
        <v>1.196</v>
      </c>
      <c r="C24" s="11">
        <v>1.099</v>
      </c>
      <c r="D24" s="5">
        <v>1</v>
      </c>
      <c r="E24">
        <v>28</v>
      </c>
      <c r="F24" s="11">
        <v>30</v>
      </c>
      <c r="G24" s="11">
        <v>5</v>
      </c>
      <c r="H24" s="5">
        <f t="shared" si="0"/>
        <v>28.5013888888889</v>
      </c>
      <c r="I24" s="11">
        <v>89</v>
      </c>
      <c r="J24" s="11">
        <v>25</v>
      </c>
      <c r="K24" s="11">
        <v>23</v>
      </c>
      <c r="L24" s="5">
        <f t="shared" si="1"/>
        <v>89.4230555555556</v>
      </c>
      <c r="M24" s="5">
        <f t="shared" si="2"/>
        <v>19.598012696857</v>
      </c>
      <c r="N24" s="5">
        <f t="shared" si="3"/>
        <v>0.197350430017679</v>
      </c>
      <c r="O24">
        <v>1.32</v>
      </c>
      <c r="P24">
        <v>1519.721</v>
      </c>
      <c r="Q24" s="5">
        <f t="shared" si="4"/>
        <v>1520.13935043002</v>
      </c>
      <c r="U24" s="15">
        <v>194.6</v>
      </c>
      <c r="W24" s="15">
        <f t="shared" si="5"/>
        <v>355819.768673181</v>
      </c>
      <c r="X24" s="15">
        <f t="shared" si="6"/>
        <v>3055752.7759446</v>
      </c>
    </row>
    <row r="25" ht="14.25" customHeight="1" spans="1:24">
      <c r="A25" s="10" t="s">
        <v>46</v>
      </c>
      <c r="B25" s="11">
        <v>1.215</v>
      </c>
      <c r="C25" s="11">
        <v>1.108</v>
      </c>
      <c r="D25" s="5">
        <v>1</v>
      </c>
      <c r="E25">
        <v>27</v>
      </c>
      <c r="F25" s="11">
        <v>29</v>
      </c>
      <c r="G25" s="11">
        <v>4</v>
      </c>
      <c r="H25" s="5">
        <f t="shared" si="0"/>
        <v>27.4844444444444</v>
      </c>
      <c r="I25" s="11">
        <v>89</v>
      </c>
      <c r="J25" s="11">
        <v>23</v>
      </c>
      <c r="K25" s="11">
        <v>42</v>
      </c>
      <c r="L25" s="5">
        <f t="shared" si="1"/>
        <v>89.395</v>
      </c>
      <c r="M25" s="5">
        <f t="shared" si="2"/>
        <v>21.4976028908845</v>
      </c>
      <c r="N25" s="5">
        <f t="shared" si="3"/>
        <v>0.2270068277655</v>
      </c>
      <c r="O25">
        <v>1.32</v>
      </c>
      <c r="P25">
        <v>1519.721</v>
      </c>
      <c r="Q25" s="5">
        <f t="shared" si="4"/>
        <v>1520.16000682777</v>
      </c>
      <c r="U25" s="15">
        <v>195.6</v>
      </c>
      <c r="W25" s="15">
        <f t="shared" si="5"/>
        <v>355819.561888118</v>
      </c>
      <c r="X25" s="15">
        <f t="shared" si="6"/>
        <v>3055753.88501194</v>
      </c>
    </row>
    <row r="26" ht="14.25" customHeight="1" spans="1:24">
      <c r="A26" s="10" t="s">
        <v>47</v>
      </c>
      <c r="B26" s="11">
        <v>1.212</v>
      </c>
      <c r="C26" s="11">
        <v>1.106</v>
      </c>
      <c r="D26" s="5">
        <v>1</v>
      </c>
      <c r="E26">
        <v>17</v>
      </c>
      <c r="F26" s="11">
        <v>1</v>
      </c>
      <c r="G26" s="11">
        <v>37</v>
      </c>
      <c r="H26" s="5">
        <f t="shared" si="0"/>
        <v>17.0269444444444</v>
      </c>
      <c r="I26" s="11">
        <v>89</v>
      </c>
      <c r="J26" s="11">
        <v>18</v>
      </c>
      <c r="K26" s="11">
        <v>40</v>
      </c>
      <c r="L26" s="5">
        <f t="shared" si="1"/>
        <v>89.3111111111111</v>
      </c>
      <c r="M26" s="5">
        <f t="shared" si="2"/>
        <v>21.1969354407056</v>
      </c>
      <c r="N26" s="5">
        <f t="shared" si="3"/>
        <v>0.254871076267497</v>
      </c>
      <c r="O26">
        <v>1.32</v>
      </c>
      <c r="P26">
        <v>1519.721</v>
      </c>
      <c r="Q26" s="5">
        <f t="shared" si="4"/>
        <v>1520.18987107627</v>
      </c>
      <c r="U26" s="15">
        <v>196.6</v>
      </c>
      <c r="W26" s="15">
        <f t="shared" si="5"/>
        <v>355822.088600032</v>
      </c>
      <c r="X26" s="15">
        <f t="shared" si="6"/>
        <v>3055764.03969477</v>
      </c>
    </row>
    <row r="27" ht="14.25" customHeight="1" spans="1:24">
      <c r="A27" s="10" t="s">
        <v>48</v>
      </c>
      <c r="B27" s="11">
        <v>1.232</v>
      </c>
      <c r="C27" s="12">
        <v>1.116</v>
      </c>
      <c r="D27" s="5">
        <v>1</v>
      </c>
      <c r="E27">
        <v>27</v>
      </c>
      <c r="F27" s="12">
        <v>34</v>
      </c>
      <c r="G27" s="12">
        <v>24</v>
      </c>
      <c r="H27" s="5">
        <f t="shared" si="0"/>
        <v>27.5733333333333</v>
      </c>
      <c r="I27" s="11">
        <v>89</v>
      </c>
      <c r="J27" s="11">
        <v>30</v>
      </c>
      <c r="K27" s="11">
        <v>23</v>
      </c>
      <c r="L27" s="5">
        <f t="shared" si="1"/>
        <v>89.5063888888889</v>
      </c>
      <c r="M27" s="5">
        <f t="shared" si="2"/>
        <v>23.1982781241711</v>
      </c>
      <c r="N27" s="5">
        <f t="shared" si="3"/>
        <v>0.199861337864541</v>
      </c>
      <c r="O27">
        <v>1.32</v>
      </c>
      <c r="P27">
        <v>1519.721</v>
      </c>
      <c r="Q27" s="5">
        <f t="shared" si="4"/>
        <v>1520.12486133786</v>
      </c>
      <c r="U27" s="15">
        <v>197.6</v>
      </c>
      <c r="W27" s="15">
        <f t="shared" si="5"/>
        <v>355818.6156542</v>
      </c>
      <c r="X27" s="15">
        <f t="shared" si="6"/>
        <v>3055754.07435599</v>
      </c>
    </row>
    <row r="28" ht="14.25" customHeight="1" spans="1:24">
      <c r="A28" s="10" t="s">
        <v>49</v>
      </c>
      <c r="B28" s="11">
        <v>1.233</v>
      </c>
      <c r="C28" s="11">
        <v>1.119</v>
      </c>
      <c r="D28" s="5">
        <v>1</v>
      </c>
      <c r="E28">
        <v>16</v>
      </c>
      <c r="F28" s="11">
        <v>48</v>
      </c>
      <c r="G28" s="11">
        <v>8</v>
      </c>
      <c r="H28" s="5">
        <f t="shared" si="0"/>
        <v>16.8022222222222</v>
      </c>
      <c r="I28">
        <v>89</v>
      </c>
      <c r="J28">
        <v>14</v>
      </c>
      <c r="K28">
        <v>1</v>
      </c>
      <c r="L28" s="5">
        <f t="shared" si="1"/>
        <v>89.2336111111111</v>
      </c>
      <c r="M28" s="5">
        <f t="shared" si="2"/>
        <v>23.2958314678583</v>
      </c>
      <c r="N28" s="5">
        <f t="shared" si="3"/>
        <v>0.311623847356518</v>
      </c>
      <c r="O28">
        <v>1.32</v>
      </c>
      <c r="P28">
        <v>1519.721</v>
      </c>
      <c r="Q28" s="5">
        <f t="shared" si="4"/>
        <v>1520.23362384736</v>
      </c>
      <c r="U28" s="15">
        <v>198.6</v>
      </c>
      <c r="W28" s="15">
        <f t="shared" si="5"/>
        <v>355821.593774798</v>
      </c>
      <c r="X28" s="15">
        <f t="shared" si="6"/>
        <v>3055764.43238456</v>
      </c>
    </row>
    <row r="29" ht="14.25" customHeight="1" spans="1:24">
      <c r="A29" s="10" t="s">
        <v>50</v>
      </c>
      <c r="B29" s="11">
        <v>1.256</v>
      </c>
      <c r="C29" s="11">
        <v>1.128</v>
      </c>
      <c r="D29" s="5">
        <v>1</v>
      </c>
      <c r="E29">
        <v>27</v>
      </c>
      <c r="F29" s="11">
        <v>48</v>
      </c>
      <c r="G29" s="11">
        <v>26</v>
      </c>
      <c r="H29" s="5">
        <f t="shared" si="0"/>
        <v>27.8072222222222</v>
      </c>
      <c r="I29">
        <v>89</v>
      </c>
      <c r="J29">
        <v>52</v>
      </c>
      <c r="K29">
        <v>49</v>
      </c>
      <c r="L29" s="5">
        <f t="shared" si="1"/>
        <v>89.8802777777778</v>
      </c>
      <c r="M29" s="5">
        <f t="shared" si="2"/>
        <v>25.5998882252757</v>
      </c>
      <c r="N29" s="5">
        <f t="shared" si="3"/>
        <v>0.0534922466131238</v>
      </c>
      <c r="O29">
        <v>1.32</v>
      </c>
      <c r="P29">
        <v>1519.721</v>
      </c>
      <c r="Q29" s="5">
        <f t="shared" si="4"/>
        <v>1519.96649224661</v>
      </c>
      <c r="U29" s="15">
        <v>199.6</v>
      </c>
      <c r="W29" s="15">
        <f t="shared" si="5"/>
        <v>355817.625023643</v>
      </c>
      <c r="X29" s="15">
        <f t="shared" si="6"/>
        <v>3055754.16099907</v>
      </c>
    </row>
    <row r="30" ht="14.25" customHeight="1" spans="1:24">
      <c r="A30" s="10" t="s">
        <v>51</v>
      </c>
      <c r="B30" s="11">
        <v>1.274</v>
      </c>
      <c r="C30" s="11">
        <v>1.138</v>
      </c>
      <c r="D30" s="5">
        <v>1</v>
      </c>
      <c r="E30" s="11">
        <v>19</v>
      </c>
      <c r="F30" s="11">
        <v>9</v>
      </c>
      <c r="G30" s="11">
        <v>42</v>
      </c>
      <c r="H30" s="5">
        <f t="shared" si="0"/>
        <v>19.1616666666667</v>
      </c>
      <c r="I30" s="11">
        <v>89</v>
      </c>
      <c r="J30" s="11">
        <v>42</v>
      </c>
      <c r="K30" s="11">
        <v>42</v>
      </c>
      <c r="L30" s="5">
        <f t="shared" si="1"/>
        <v>89.7116666666667</v>
      </c>
      <c r="M30" s="5">
        <f t="shared" si="2"/>
        <v>27.3993061088677</v>
      </c>
      <c r="N30" s="5">
        <f t="shared" si="3"/>
        <v>0.137884500721094</v>
      </c>
      <c r="O30">
        <v>1.32</v>
      </c>
      <c r="P30">
        <v>1519.721</v>
      </c>
      <c r="Q30" s="5">
        <f t="shared" si="4"/>
        <v>1520.04088450072</v>
      </c>
      <c r="U30" s="15">
        <v>200.6</v>
      </c>
      <c r="W30" s="15">
        <f t="shared" si="5"/>
        <v>355820.211127606</v>
      </c>
      <c r="X30" s="15">
        <f t="shared" si="6"/>
        <v>3055762.4205392</v>
      </c>
    </row>
    <row r="31" ht="14.25" customHeight="1" spans="1:24">
      <c r="A31" s="10" t="s">
        <v>52</v>
      </c>
      <c r="B31" s="11">
        <v>1.263</v>
      </c>
      <c r="C31" s="11">
        <v>1.134</v>
      </c>
      <c r="D31" s="5">
        <v>1</v>
      </c>
      <c r="E31" s="11">
        <v>28</v>
      </c>
      <c r="F31" s="11">
        <v>7</v>
      </c>
      <c r="G31" s="11">
        <v>49</v>
      </c>
      <c r="H31" s="5">
        <f t="shared" si="0"/>
        <v>28.1302777777778</v>
      </c>
      <c r="I31" s="11">
        <v>88</v>
      </c>
      <c r="J31" s="11">
        <v>38</v>
      </c>
      <c r="K31" s="11">
        <v>13</v>
      </c>
      <c r="L31" s="5">
        <f t="shared" si="1"/>
        <v>88.6369444444445</v>
      </c>
      <c r="M31" s="5">
        <f t="shared" si="2"/>
        <v>26.28511819306</v>
      </c>
      <c r="N31" s="5">
        <f t="shared" si="3"/>
        <v>0.625435891474278</v>
      </c>
      <c r="O31">
        <v>1.32</v>
      </c>
      <c r="P31">
        <v>1519.721</v>
      </c>
      <c r="Q31" s="5">
        <f t="shared" si="4"/>
        <v>1520.53243589147</v>
      </c>
      <c r="U31" s="15">
        <v>201.6</v>
      </c>
      <c r="W31" s="15">
        <f t="shared" si="5"/>
        <v>355816.597554064</v>
      </c>
      <c r="X31" s="15">
        <f t="shared" si="6"/>
        <v>3055754.20212919</v>
      </c>
    </row>
    <row r="32" ht="14.25" customHeight="1" spans="1:24">
      <c r="A32" s="10" t="s">
        <v>53</v>
      </c>
      <c r="B32" s="11">
        <v>1.292</v>
      </c>
      <c r="C32" s="11">
        <v>1.145</v>
      </c>
      <c r="D32" s="5">
        <v>1</v>
      </c>
      <c r="E32" s="11">
        <v>18</v>
      </c>
      <c r="F32" s="11">
        <v>56</v>
      </c>
      <c r="G32" s="11">
        <v>33</v>
      </c>
      <c r="H32" s="5">
        <f t="shared" si="0"/>
        <v>18.9425</v>
      </c>
      <c r="I32" s="11">
        <v>88</v>
      </c>
      <c r="J32" s="11">
        <v>48</v>
      </c>
      <c r="K32" s="11">
        <v>52</v>
      </c>
      <c r="L32" s="5">
        <f t="shared" si="1"/>
        <v>88.8144444444444</v>
      </c>
      <c r="M32" s="5">
        <f t="shared" si="2"/>
        <v>29.1874997291188</v>
      </c>
      <c r="N32" s="5">
        <f t="shared" si="3"/>
        <v>0.604029513317795</v>
      </c>
      <c r="O32">
        <v>1.32</v>
      </c>
      <c r="P32">
        <v>1519.721</v>
      </c>
      <c r="Q32" s="5">
        <f t="shared" si="4"/>
        <v>1520.50002951332</v>
      </c>
      <c r="U32" s="15">
        <v>202.6</v>
      </c>
      <c r="W32" s="15">
        <f t="shared" si="5"/>
        <v>355819.673485842</v>
      </c>
      <c r="X32" s="15">
        <f t="shared" si="6"/>
        <v>3055762.86909047</v>
      </c>
    </row>
    <row r="33" ht="14.25" customHeight="1" spans="1:24">
      <c r="A33" s="10" t="s">
        <v>54</v>
      </c>
      <c r="B33" s="11">
        <v>1.272</v>
      </c>
      <c r="C33" s="11">
        <v>1.136</v>
      </c>
      <c r="D33" s="5">
        <v>1</v>
      </c>
      <c r="E33" s="11">
        <v>24</v>
      </c>
      <c r="F33" s="11">
        <v>11</v>
      </c>
      <c r="G33" s="11">
        <v>38</v>
      </c>
      <c r="H33" s="5">
        <f t="shared" si="0"/>
        <v>24.1938888888889</v>
      </c>
      <c r="I33" s="11">
        <v>87</v>
      </c>
      <c r="J33" s="11">
        <v>34</v>
      </c>
      <c r="K33" s="11">
        <v>39</v>
      </c>
      <c r="L33" s="5">
        <f t="shared" si="1"/>
        <v>87.5775</v>
      </c>
      <c r="M33" s="5">
        <f t="shared" si="2"/>
        <v>27.1514049082417</v>
      </c>
      <c r="N33" s="5">
        <f t="shared" si="3"/>
        <v>1.14866227102797</v>
      </c>
      <c r="O33">
        <v>1.32</v>
      </c>
      <c r="P33">
        <v>1519.721</v>
      </c>
      <c r="Q33" s="5">
        <f t="shared" si="4"/>
        <v>1521.05366227103</v>
      </c>
      <c r="U33" s="15">
        <v>203.6</v>
      </c>
      <c r="W33" s="15">
        <f t="shared" si="5"/>
        <v>355817.266999979</v>
      </c>
      <c r="X33" s="15">
        <f t="shared" si="6"/>
        <v>3055758.18662194</v>
      </c>
    </row>
    <row r="34" ht="14.25" customHeight="1" spans="1:24">
      <c r="A34" s="10" t="s">
        <v>55</v>
      </c>
      <c r="B34" s="11">
        <v>1.294</v>
      </c>
      <c r="C34" s="11">
        <v>1.148</v>
      </c>
      <c r="D34" s="5">
        <v>1</v>
      </c>
      <c r="E34" s="11">
        <v>19</v>
      </c>
      <c r="F34" s="11">
        <v>21</v>
      </c>
      <c r="G34" s="11">
        <v>20</v>
      </c>
      <c r="H34" s="5">
        <f t="shared" si="0"/>
        <v>19.3555555555556</v>
      </c>
      <c r="I34" s="11">
        <v>87</v>
      </c>
      <c r="J34" s="11">
        <v>51</v>
      </c>
      <c r="K34" s="11">
        <v>58</v>
      </c>
      <c r="L34" s="5">
        <f t="shared" si="1"/>
        <v>87.8661111111111</v>
      </c>
      <c r="M34" s="5">
        <f t="shared" si="2"/>
        <v>29.3592389970549</v>
      </c>
      <c r="N34" s="5">
        <f t="shared" si="3"/>
        <v>1.09394333821569</v>
      </c>
      <c r="O34">
        <v>1.32</v>
      </c>
      <c r="P34">
        <v>1519.721</v>
      </c>
      <c r="Q34" s="5">
        <f t="shared" si="4"/>
        <v>1520.98694333822</v>
      </c>
      <c r="U34" s="15">
        <v>204.6</v>
      </c>
      <c r="W34" s="15">
        <f t="shared" si="5"/>
        <v>355818.89565399</v>
      </c>
      <c r="X34" s="15">
        <f t="shared" si="6"/>
        <v>3055762.75822998</v>
      </c>
    </row>
    <row r="35" ht="14.25" customHeight="1" spans="1:24">
      <c r="A35" s="10" t="s">
        <v>56</v>
      </c>
      <c r="B35" s="11">
        <v>1.28</v>
      </c>
      <c r="C35" s="11">
        <v>1.14</v>
      </c>
      <c r="D35" s="5">
        <v>1</v>
      </c>
      <c r="E35" s="11">
        <v>28</v>
      </c>
      <c r="F35" s="11">
        <v>18</v>
      </c>
      <c r="G35" s="11">
        <v>47</v>
      </c>
      <c r="H35" s="5">
        <f t="shared" si="0"/>
        <v>28.3130555555556</v>
      </c>
      <c r="I35" s="11">
        <v>86</v>
      </c>
      <c r="J35" s="11">
        <v>56</v>
      </c>
      <c r="K35" s="11">
        <v>35</v>
      </c>
      <c r="L35" s="5">
        <f t="shared" si="1"/>
        <v>86.9430555555556</v>
      </c>
      <c r="M35" s="5">
        <f t="shared" si="2"/>
        <v>27.9203701809407</v>
      </c>
      <c r="N35" s="5">
        <f t="shared" si="3"/>
        <v>1.49107143543761</v>
      </c>
      <c r="O35">
        <v>1.32</v>
      </c>
      <c r="P35">
        <v>1519.721</v>
      </c>
      <c r="Q35" s="5">
        <f t="shared" si="4"/>
        <v>1521.39207143544</v>
      </c>
      <c r="U35" s="15">
        <v>205.6</v>
      </c>
      <c r="W35" s="15">
        <f t="shared" si="5"/>
        <v>355814.719332177</v>
      </c>
      <c r="X35" s="15">
        <f t="shared" si="6"/>
        <v>3055754.82336558</v>
      </c>
    </row>
    <row r="36" ht="14.25" customHeight="1" spans="1:24">
      <c r="A36" s="10" t="s">
        <v>57</v>
      </c>
      <c r="B36" s="11">
        <v>1.305</v>
      </c>
      <c r="C36" s="11">
        <v>1.153</v>
      </c>
      <c r="D36" s="5">
        <v>1</v>
      </c>
      <c r="E36" s="11">
        <v>19</v>
      </c>
      <c r="F36" s="11">
        <v>42</v>
      </c>
      <c r="G36" s="11">
        <v>5</v>
      </c>
      <c r="H36" s="5">
        <f t="shared" si="0"/>
        <v>19.7013888888889</v>
      </c>
      <c r="I36" s="11">
        <v>87</v>
      </c>
      <c r="J36" s="11">
        <v>7</v>
      </c>
      <c r="K36" s="11">
        <v>57</v>
      </c>
      <c r="L36" s="5">
        <f t="shared" si="1"/>
        <v>87.1325</v>
      </c>
      <c r="M36" s="5">
        <f t="shared" si="2"/>
        <v>30.4236693782333</v>
      </c>
      <c r="N36" s="5">
        <f t="shared" si="3"/>
        <v>1.52389553449873</v>
      </c>
      <c r="O36">
        <v>1.32</v>
      </c>
      <c r="P36">
        <v>1519.721</v>
      </c>
      <c r="Q36" s="5">
        <f t="shared" si="4"/>
        <v>1521.4118955345</v>
      </c>
      <c r="U36" s="15">
        <v>206.6</v>
      </c>
      <c r="W36" s="15">
        <f t="shared" ref="W36:W67" si="7">$S$3+(H36*SIN(U36*3.141592654/180))</f>
        <v>355818.131524074</v>
      </c>
      <c r="X36" s="15">
        <f t="shared" ref="X36:X67" si="8">$T$3+(H36*COS(U36*3.141592654/180))</f>
        <v>3055762.74091966</v>
      </c>
    </row>
    <row r="37" ht="14.25" customHeight="1" spans="1:24">
      <c r="A37" s="10" t="s">
        <v>58</v>
      </c>
      <c r="B37" s="11">
        <v>1.313</v>
      </c>
      <c r="C37" s="11">
        <v>1.158</v>
      </c>
      <c r="D37" s="5">
        <v>1</v>
      </c>
      <c r="E37" s="11">
        <v>1</v>
      </c>
      <c r="F37" s="11">
        <v>38</v>
      </c>
      <c r="G37" s="11">
        <v>46</v>
      </c>
      <c r="H37" s="5">
        <f t="shared" si="0"/>
        <v>1.64611111111111</v>
      </c>
      <c r="I37" s="11">
        <v>89</v>
      </c>
      <c r="J37" s="11">
        <v>39</v>
      </c>
      <c r="K37" s="11">
        <v>3</v>
      </c>
      <c r="L37" s="5">
        <f t="shared" si="1"/>
        <v>89.6508333333333</v>
      </c>
      <c r="M37" s="5">
        <f t="shared" si="2"/>
        <v>31.2988375902334</v>
      </c>
      <c r="N37" s="5">
        <f t="shared" si="3"/>
        <v>0.190740856918943</v>
      </c>
      <c r="O37">
        <v>1.32</v>
      </c>
      <c r="P37">
        <v>1519.721</v>
      </c>
      <c r="Q37" s="5">
        <f t="shared" si="4"/>
        <v>1520.07374085692</v>
      </c>
      <c r="U37" s="15">
        <v>207.6</v>
      </c>
      <c r="W37" s="15">
        <f t="shared" si="7"/>
        <v>355826.190363248</v>
      </c>
      <c r="X37" s="15">
        <f t="shared" si="8"/>
        <v>3055778.89821044</v>
      </c>
    </row>
    <row r="38" ht="14.25" customHeight="1" spans="1:24">
      <c r="A38" s="10" t="s">
        <v>59</v>
      </c>
      <c r="B38" s="11">
        <v>1.301</v>
      </c>
      <c r="C38" s="11">
        <v>1.15</v>
      </c>
      <c r="D38" s="5">
        <v>1</v>
      </c>
      <c r="E38" s="11">
        <v>4</v>
      </c>
      <c r="F38" s="11">
        <v>14</v>
      </c>
      <c r="G38" s="11">
        <v>2</v>
      </c>
      <c r="H38" s="5">
        <f t="shared" si="0"/>
        <v>4.23388888888889</v>
      </c>
      <c r="I38" s="11">
        <v>89</v>
      </c>
      <c r="J38" s="11">
        <v>11</v>
      </c>
      <c r="K38" s="11">
        <v>17</v>
      </c>
      <c r="L38" s="5">
        <f t="shared" si="1"/>
        <v>89.1880555555556</v>
      </c>
      <c r="M38" s="5">
        <f t="shared" si="2"/>
        <v>30.093955717031</v>
      </c>
      <c r="N38" s="5">
        <f t="shared" si="3"/>
        <v>0.426493123051168</v>
      </c>
      <c r="O38">
        <v>1.32</v>
      </c>
      <c r="P38">
        <v>1519.721</v>
      </c>
      <c r="Q38" s="5">
        <f t="shared" si="4"/>
        <v>1520.31749312305</v>
      </c>
      <c r="U38" s="15">
        <v>208.6</v>
      </c>
      <c r="W38" s="15">
        <f t="shared" si="7"/>
        <v>355824.92627186</v>
      </c>
      <c r="X38" s="15">
        <f t="shared" si="8"/>
        <v>3055776.63971764</v>
      </c>
    </row>
    <row r="39" ht="14.25" customHeight="1" spans="1:24">
      <c r="A39" s="10" t="s">
        <v>60</v>
      </c>
      <c r="B39" s="11">
        <v>1.263</v>
      </c>
      <c r="C39" s="11">
        <v>1.131</v>
      </c>
      <c r="D39" s="5">
        <v>1</v>
      </c>
      <c r="E39" s="11">
        <v>4</v>
      </c>
      <c r="F39" s="11">
        <v>25</v>
      </c>
      <c r="G39" s="11">
        <v>27</v>
      </c>
      <c r="H39" s="5">
        <f t="shared" si="0"/>
        <v>4.42416666666667</v>
      </c>
      <c r="I39" s="11">
        <v>89</v>
      </c>
      <c r="J39" s="11">
        <v>7</v>
      </c>
      <c r="K39" s="11">
        <v>32</v>
      </c>
      <c r="L39" s="5">
        <f t="shared" si="1"/>
        <v>89.1255555555556</v>
      </c>
      <c r="M39" s="5">
        <f t="shared" si="2"/>
        <v>26.2938745047185</v>
      </c>
      <c r="N39" s="5">
        <f t="shared" si="3"/>
        <v>0.401326555577345</v>
      </c>
      <c r="O39">
        <v>1.32</v>
      </c>
      <c r="P39">
        <v>1519.721</v>
      </c>
      <c r="Q39" s="5">
        <f t="shared" si="4"/>
        <v>1520.31132655558</v>
      </c>
      <c r="U39" s="15">
        <v>209.6</v>
      </c>
      <c r="W39" s="15">
        <f t="shared" si="7"/>
        <v>355824.767718857</v>
      </c>
      <c r="X39" s="15">
        <f t="shared" si="8"/>
        <v>3055776.51020952</v>
      </c>
    </row>
    <row r="40" ht="14.25" customHeight="1" spans="1:24">
      <c r="A40" s="10" t="s">
        <v>61</v>
      </c>
      <c r="B40" s="11">
        <v>1.271</v>
      </c>
      <c r="C40" s="11">
        <v>1.135</v>
      </c>
      <c r="D40" s="5">
        <v>1</v>
      </c>
      <c r="E40" s="11">
        <v>11</v>
      </c>
      <c r="F40" s="11">
        <v>5</v>
      </c>
      <c r="G40" s="11">
        <v>14</v>
      </c>
      <c r="H40" s="5">
        <f t="shared" si="0"/>
        <v>11.0872222222222</v>
      </c>
      <c r="I40" s="11">
        <v>89</v>
      </c>
      <c r="J40" s="11">
        <v>22</v>
      </c>
      <c r="K40" s="11">
        <v>53</v>
      </c>
      <c r="L40" s="5">
        <f t="shared" si="1"/>
        <v>89.3813888888889</v>
      </c>
      <c r="M40" s="5">
        <f t="shared" si="2"/>
        <v>27.0968410512276</v>
      </c>
      <c r="N40" s="5">
        <f t="shared" si="3"/>
        <v>0.292570560335276</v>
      </c>
      <c r="O40">
        <v>1.32</v>
      </c>
      <c r="P40">
        <v>1519.721</v>
      </c>
      <c r="Q40" s="5">
        <f t="shared" si="4"/>
        <v>1520.19857056034</v>
      </c>
      <c r="U40" s="15">
        <v>210.6</v>
      </c>
      <c r="W40" s="15">
        <f t="shared" si="7"/>
        <v>355821.309144699</v>
      </c>
      <c r="X40" s="15">
        <f t="shared" si="8"/>
        <v>3055770.81376187</v>
      </c>
    </row>
    <row r="41" ht="14.25" customHeight="1" spans="1:24">
      <c r="A41" s="10" t="s">
        <v>62</v>
      </c>
      <c r="B41" s="11">
        <v>1.23</v>
      </c>
      <c r="C41" s="11">
        <v>1.115</v>
      </c>
      <c r="D41" s="5">
        <v>1</v>
      </c>
      <c r="E41" s="11">
        <v>5</v>
      </c>
      <c r="F41" s="11">
        <v>5</v>
      </c>
      <c r="G41" s="11">
        <v>9</v>
      </c>
      <c r="H41" s="5">
        <f t="shared" si="0"/>
        <v>5.08583333333333</v>
      </c>
      <c r="I41" s="11">
        <v>89</v>
      </c>
      <c r="J41" s="11">
        <v>9</v>
      </c>
      <c r="K41" s="11">
        <v>57</v>
      </c>
      <c r="L41" s="5">
        <f t="shared" si="1"/>
        <v>89.1658333333333</v>
      </c>
      <c r="M41" s="5">
        <f t="shared" si="2"/>
        <v>22.99512519162</v>
      </c>
      <c r="N41" s="5">
        <f t="shared" si="3"/>
        <v>0.334808645324922</v>
      </c>
      <c r="O41">
        <v>1.32</v>
      </c>
      <c r="P41">
        <v>1519.721</v>
      </c>
      <c r="Q41" s="5">
        <f t="shared" si="4"/>
        <v>1520.26080864532</v>
      </c>
      <c r="U41" s="15">
        <v>211.6</v>
      </c>
      <c r="W41" s="15">
        <f t="shared" si="7"/>
        <v>355824.288095011</v>
      </c>
      <c r="X41" s="15">
        <f t="shared" si="8"/>
        <v>3055776.02525877</v>
      </c>
    </row>
    <row r="42" ht="14.25" customHeight="1" spans="1:24">
      <c r="A42" s="10" t="s">
        <v>63</v>
      </c>
      <c r="B42" s="11">
        <v>1.235</v>
      </c>
      <c r="C42" s="11">
        <v>1.119</v>
      </c>
      <c r="D42" s="5">
        <v>1</v>
      </c>
      <c r="E42" s="11">
        <v>11</v>
      </c>
      <c r="F42" s="11">
        <v>44</v>
      </c>
      <c r="G42" s="11">
        <v>53</v>
      </c>
      <c r="H42" s="5">
        <f t="shared" si="0"/>
        <v>11.7480555555556</v>
      </c>
      <c r="I42" s="11">
        <v>89</v>
      </c>
      <c r="J42" s="11">
        <v>7</v>
      </c>
      <c r="K42" s="11">
        <v>31</v>
      </c>
      <c r="L42" s="5">
        <f t="shared" si="1"/>
        <v>89.1252777777778</v>
      </c>
      <c r="M42" s="5">
        <f t="shared" si="2"/>
        <v>23.4945231710692</v>
      </c>
      <c r="N42" s="5">
        <f t="shared" si="3"/>
        <v>0.358713652122057</v>
      </c>
      <c r="O42">
        <v>1.32</v>
      </c>
      <c r="P42">
        <v>1519.721</v>
      </c>
      <c r="Q42" s="5">
        <f t="shared" si="4"/>
        <v>1520.28071365212</v>
      </c>
      <c r="U42" s="15">
        <v>212.6</v>
      </c>
      <c r="W42" s="15">
        <f t="shared" si="7"/>
        <v>355820.623490881</v>
      </c>
      <c r="X42" s="15">
        <f t="shared" si="8"/>
        <v>3055770.45982244</v>
      </c>
    </row>
    <row r="43" ht="14.25" customHeight="1" spans="1:24">
      <c r="A43" s="10" t="s">
        <v>64</v>
      </c>
      <c r="B43" s="11">
        <v>1.191</v>
      </c>
      <c r="C43" s="11">
        <v>1.095</v>
      </c>
      <c r="D43" s="5">
        <v>1</v>
      </c>
      <c r="E43" s="11">
        <v>7</v>
      </c>
      <c r="F43" s="11">
        <v>52</v>
      </c>
      <c r="G43" s="11">
        <v>48</v>
      </c>
      <c r="H43" s="5">
        <f t="shared" si="0"/>
        <v>7.88</v>
      </c>
      <c r="I43" s="11">
        <v>89</v>
      </c>
      <c r="J43" s="11">
        <v>20</v>
      </c>
      <c r="K43" s="11">
        <v>33</v>
      </c>
      <c r="L43" s="5">
        <f t="shared" si="1"/>
        <v>89.3425</v>
      </c>
      <c r="M43" s="5">
        <f t="shared" si="2"/>
        <v>19.0974848693314</v>
      </c>
      <c r="N43" s="5">
        <f t="shared" si="3"/>
        <v>0.219163568795939</v>
      </c>
      <c r="O43">
        <v>1.38</v>
      </c>
      <c r="P43">
        <v>1519.721</v>
      </c>
      <c r="Q43" s="5">
        <f t="shared" si="4"/>
        <v>1520.2251635688</v>
      </c>
      <c r="U43" s="15">
        <v>213.6</v>
      </c>
      <c r="W43" s="15">
        <f t="shared" si="7"/>
        <v>355822.592274589</v>
      </c>
      <c r="X43" s="15">
        <f t="shared" si="8"/>
        <v>3055773.79358063</v>
      </c>
    </row>
    <row r="44" ht="14.25" customHeight="1" spans="1:24">
      <c r="A44" s="10" t="s">
        <v>65</v>
      </c>
      <c r="B44" s="11">
        <v>1.2</v>
      </c>
      <c r="C44" s="11">
        <v>1.1</v>
      </c>
      <c r="D44" s="5">
        <v>1</v>
      </c>
      <c r="E44" s="11">
        <v>12</v>
      </c>
      <c r="F44" s="11">
        <v>34</v>
      </c>
      <c r="G44" s="11">
        <v>5</v>
      </c>
      <c r="H44" s="5">
        <f t="shared" si="0"/>
        <v>12.5680555555556</v>
      </c>
      <c r="I44" s="11">
        <v>89</v>
      </c>
      <c r="J44" s="11">
        <v>23</v>
      </c>
      <c r="K44" s="11">
        <v>32</v>
      </c>
      <c r="L44" s="5">
        <f t="shared" si="1"/>
        <v>89.3922222222222</v>
      </c>
      <c r="M44" s="5">
        <f t="shared" si="2"/>
        <v>19.9977496085191</v>
      </c>
      <c r="N44" s="5">
        <f t="shared" si="3"/>
        <v>0.212138552261266</v>
      </c>
      <c r="O44">
        <v>1.38</v>
      </c>
      <c r="P44">
        <v>1519.721</v>
      </c>
      <c r="Q44" s="5">
        <f t="shared" si="4"/>
        <v>1520.21313855226</v>
      </c>
      <c r="U44" s="15">
        <v>214.6</v>
      </c>
      <c r="W44" s="15">
        <f t="shared" si="7"/>
        <v>355819.81630826</v>
      </c>
      <c r="X44" s="15">
        <f t="shared" si="8"/>
        <v>3055770.01177639</v>
      </c>
    </row>
    <row r="45" ht="14.25" customHeight="1" spans="1:24">
      <c r="A45" s="10" t="s">
        <v>66</v>
      </c>
      <c r="B45" s="11">
        <v>1.163</v>
      </c>
      <c r="C45" s="11">
        <v>1.082</v>
      </c>
      <c r="D45" s="5">
        <v>1</v>
      </c>
      <c r="E45" s="11">
        <v>3</v>
      </c>
      <c r="F45" s="11">
        <v>10</v>
      </c>
      <c r="G45" s="11">
        <v>16</v>
      </c>
      <c r="H45" s="5">
        <f t="shared" si="0"/>
        <v>3.17111111111111</v>
      </c>
      <c r="I45" s="11">
        <v>89</v>
      </c>
      <c r="J45" s="11">
        <v>15</v>
      </c>
      <c r="K45" s="11">
        <v>24</v>
      </c>
      <c r="L45" s="5">
        <f t="shared" si="1"/>
        <v>89.2566666666667</v>
      </c>
      <c r="M45" s="5">
        <f t="shared" si="2"/>
        <v>16.2972566249153</v>
      </c>
      <c r="N45" s="5">
        <f t="shared" si="3"/>
        <v>0.211446181743503</v>
      </c>
      <c r="O45">
        <v>1.38</v>
      </c>
      <c r="P45">
        <v>1519.721</v>
      </c>
      <c r="Q45" s="5">
        <f t="shared" si="4"/>
        <v>1520.23044618174</v>
      </c>
      <c r="U45" s="15">
        <v>215.6</v>
      </c>
      <c r="W45" s="15">
        <f t="shared" si="7"/>
        <v>355825.10702338</v>
      </c>
      <c r="X45" s="15">
        <f t="shared" si="8"/>
        <v>3055777.77856714</v>
      </c>
    </row>
    <row r="46" ht="14.25" customHeight="1" spans="1:24">
      <c r="A46" s="10" t="s">
        <v>67</v>
      </c>
      <c r="B46" s="11">
        <v>1.171</v>
      </c>
      <c r="C46" s="11">
        <v>1.085</v>
      </c>
      <c r="D46" s="5">
        <v>1</v>
      </c>
      <c r="E46" s="11">
        <v>359</v>
      </c>
      <c r="F46" s="11">
        <v>48</v>
      </c>
      <c r="G46" s="11">
        <v>32</v>
      </c>
      <c r="H46" s="5">
        <f t="shared" si="0"/>
        <v>359.808888888889</v>
      </c>
      <c r="I46" s="11">
        <v>89</v>
      </c>
      <c r="J46" s="11">
        <v>32</v>
      </c>
      <c r="K46" s="11">
        <v>34</v>
      </c>
      <c r="L46" s="5">
        <f t="shared" si="1"/>
        <v>89.5427777777778</v>
      </c>
      <c r="M46" s="5">
        <f t="shared" si="2"/>
        <v>17.0989110792164</v>
      </c>
      <c r="N46" s="5">
        <f t="shared" si="3"/>
        <v>0.136452774435328</v>
      </c>
      <c r="O46">
        <v>1.38</v>
      </c>
      <c r="P46">
        <v>1519.721</v>
      </c>
      <c r="Q46" s="5">
        <f t="shared" si="4"/>
        <v>1520.15245277444</v>
      </c>
      <c r="U46" s="15">
        <v>216.6</v>
      </c>
      <c r="W46" s="15">
        <f t="shared" si="7"/>
        <v>355612.425990068</v>
      </c>
      <c r="X46" s="15">
        <f t="shared" si="8"/>
        <v>3055491.49613638</v>
      </c>
    </row>
    <row r="47" ht="14.25" customHeight="1" spans="1:24">
      <c r="A47" s="10" t="s">
        <v>68</v>
      </c>
      <c r="B47" s="11">
        <v>1.153</v>
      </c>
      <c r="C47" s="11">
        <v>1.076</v>
      </c>
      <c r="D47" s="5">
        <v>1</v>
      </c>
      <c r="E47" s="11">
        <v>355</v>
      </c>
      <c r="F47" s="11">
        <v>1</v>
      </c>
      <c r="G47" s="11">
        <v>40</v>
      </c>
      <c r="H47" s="5">
        <f t="shared" si="0"/>
        <v>355.027777777778</v>
      </c>
      <c r="I47" s="11">
        <v>89</v>
      </c>
      <c r="J47" s="11">
        <v>37</v>
      </c>
      <c r="K47" s="11">
        <v>21</v>
      </c>
      <c r="L47" s="5">
        <f t="shared" si="1"/>
        <v>89.6225</v>
      </c>
      <c r="M47" s="5">
        <f t="shared" si="2"/>
        <v>15.2993358383519</v>
      </c>
      <c r="N47" s="5">
        <f t="shared" si="3"/>
        <v>0.100802936983622</v>
      </c>
      <c r="O47">
        <v>1.38</v>
      </c>
      <c r="P47">
        <v>1519.721</v>
      </c>
      <c r="Q47" s="5">
        <f t="shared" si="4"/>
        <v>1520.12580293698</v>
      </c>
      <c r="U47" s="15">
        <v>217.6</v>
      </c>
      <c r="W47" s="15">
        <f t="shared" si="7"/>
        <v>355610.334518199</v>
      </c>
      <c r="X47" s="15">
        <f t="shared" si="8"/>
        <v>3055499.07216867</v>
      </c>
    </row>
    <row r="48" ht="14.25" customHeight="1" spans="1:24">
      <c r="A48" s="10" t="s">
        <v>69</v>
      </c>
      <c r="B48" s="11">
        <v>1.145</v>
      </c>
      <c r="C48" s="11">
        <v>1.073</v>
      </c>
      <c r="D48" s="5">
        <v>1</v>
      </c>
      <c r="E48" s="11">
        <v>359</v>
      </c>
      <c r="F48" s="11">
        <v>41</v>
      </c>
      <c r="G48" s="11">
        <v>5</v>
      </c>
      <c r="H48" s="5">
        <f t="shared" si="0"/>
        <v>359.684722222222</v>
      </c>
      <c r="I48" s="11">
        <v>89</v>
      </c>
      <c r="J48" s="11">
        <v>29</v>
      </c>
      <c r="K48" s="11">
        <v>42</v>
      </c>
      <c r="L48" s="5">
        <f t="shared" si="1"/>
        <v>89.495</v>
      </c>
      <c r="M48" s="5">
        <f t="shared" si="2"/>
        <v>14.4988735958352</v>
      </c>
      <c r="N48" s="5">
        <f t="shared" si="3"/>
        <v>0.127795115723395</v>
      </c>
      <c r="O48">
        <v>1.38</v>
      </c>
      <c r="P48">
        <v>1519.721</v>
      </c>
      <c r="Q48" s="5">
        <f t="shared" si="4"/>
        <v>1520.15579511572</v>
      </c>
      <c r="U48" s="15">
        <v>218.6</v>
      </c>
      <c r="W48" s="15">
        <f t="shared" si="7"/>
        <v>355602.553040417</v>
      </c>
      <c r="X48" s="15">
        <f t="shared" si="8"/>
        <v>3055499.25602608</v>
      </c>
    </row>
    <row r="49" ht="14.25" customHeight="1" spans="1:24">
      <c r="A49" s="10" t="s">
        <v>70</v>
      </c>
      <c r="B49" s="11">
        <v>1.123</v>
      </c>
      <c r="C49" s="11">
        <v>1.06</v>
      </c>
      <c r="D49" s="5">
        <v>1</v>
      </c>
      <c r="E49" s="11">
        <v>352</v>
      </c>
      <c r="F49" s="11">
        <v>58</v>
      </c>
      <c r="G49" s="11">
        <v>22</v>
      </c>
      <c r="H49" s="5">
        <f t="shared" si="0"/>
        <v>352.972777777778</v>
      </c>
      <c r="I49" s="11">
        <v>89</v>
      </c>
      <c r="J49" s="11">
        <v>50</v>
      </c>
      <c r="K49" s="11">
        <v>52</v>
      </c>
      <c r="L49" s="5">
        <f t="shared" si="1"/>
        <v>89.8477777777778</v>
      </c>
      <c r="M49" s="5">
        <f t="shared" si="2"/>
        <v>12.2999131809678</v>
      </c>
      <c r="N49" s="5">
        <f t="shared" si="3"/>
        <v>0.0326782275887108</v>
      </c>
      <c r="O49">
        <v>1.38</v>
      </c>
      <c r="P49">
        <v>1519.721</v>
      </c>
      <c r="Q49" s="5">
        <f t="shared" si="4"/>
        <v>1520.07367822759</v>
      </c>
      <c r="U49" s="15">
        <v>219.6</v>
      </c>
      <c r="W49" s="15">
        <f t="shared" si="7"/>
        <v>355601.95968358</v>
      </c>
      <c r="X49" s="15">
        <f t="shared" si="8"/>
        <v>3055508.3868005</v>
      </c>
    </row>
    <row r="50" ht="14.25" customHeight="1" spans="1:24">
      <c r="A50" s="10" t="s">
        <v>71</v>
      </c>
      <c r="B50" s="11">
        <v>1.131</v>
      </c>
      <c r="C50" s="11">
        <v>1.065</v>
      </c>
      <c r="D50" s="5">
        <v>1</v>
      </c>
      <c r="E50" s="11">
        <v>348</v>
      </c>
      <c r="F50" s="11">
        <v>1</v>
      </c>
      <c r="G50" s="11">
        <v>36</v>
      </c>
      <c r="H50" s="5">
        <f t="shared" si="0"/>
        <v>348.026666666667</v>
      </c>
      <c r="I50" s="11">
        <v>90</v>
      </c>
      <c r="J50" s="11">
        <v>1</v>
      </c>
      <c r="K50" s="11">
        <v>22</v>
      </c>
      <c r="L50" s="5">
        <f t="shared" si="1"/>
        <v>90.0227777777778</v>
      </c>
      <c r="M50" s="5">
        <f t="shared" si="2"/>
        <v>13.0999979296264</v>
      </c>
      <c r="N50" s="5">
        <f t="shared" si="3"/>
        <v>-0.00520786801376366</v>
      </c>
      <c r="O50">
        <v>1.38</v>
      </c>
      <c r="P50">
        <v>1519.721</v>
      </c>
      <c r="Q50" s="5">
        <f t="shared" si="4"/>
        <v>1520.03079213199</v>
      </c>
      <c r="U50" s="15">
        <v>220.6</v>
      </c>
      <c r="W50" s="15">
        <f t="shared" si="7"/>
        <v>355600.466218279</v>
      </c>
      <c r="X50" s="15">
        <f t="shared" si="8"/>
        <v>3055516.11033793</v>
      </c>
    </row>
    <row r="51" ht="14.25" customHeight="1" spans="1:24">
      <c r="A51" s="10" t="s">
        <v>72</v>
      </c>
      <c r="B51" s="11">
        <v>1.102</v>
      </c>
      <c r="C51" s="11">
        <v>1.05</v>
      </c>
      <c r="D51" s="5">
        <v>1</v>
      </c>
      <c r="E51" s="11">
        <v>342</v>
      </c>
      <c r="F51" s="11">
        <v>50</v>
      </c>
      <c r="G51" s="11">
        <v>12</v>
      </c>
      <c r="H51" s="5">
        <f t="shared" si="0"/>
        <v>342.836666666667</v>
      </c>
      <c r="I51" s="11">
        <v>90</v>
      </c>
      <c r="J51" s="11">
        <v>33</v>
      </c>
      <c r="K51" s="11">
        <v>39</v>
      </c>
      <c r="L51" s="5">
        <f t="shared" si="1"/>
        <v>90.5608333333333</v>
      </c>
      <c r="M51" s="5">
        <f t="shared" si="2"/>
        <v>10.1990227432632</v>
      </c>
      <c r="N51" s="5">
        <f t="shared" si="3"/>
        <v>-0.0998351825999787</v>
      </c>
      <c r="O51">
        <v>1.38</v>
      </c>
      <c r="P51">
        <v>1519.721</v>
      </c>
      <c r="Q51" s="5">
        <f t="shared" si="4"/>
        <v>1519.9511648174</v>
      </c>
      <c r="U51" s="15">
        <v>221.6</v>
      </c>
      <c r="W51" s="15">
        <f t="shared" si="7"/>
        <v>355599.334750212</v>
      </c>
      <c r="X51" s="15">
        <f t="shared" si="8"/>
        <v>3055523.98439543</v>
      </c>
    </row>
    <row r="52" ht="14.25" customHeight="1" spans="1:24">
      <c r="A52" s="10" t="s">
        <v>73</v>
      </c>
      <c r="B52" s="11">
        <v>1.112</v>
      </c>
      <c r="C52" s="11">
        <v>1.056</v>
      </c>
      <c r="D52" s="5">
        <v>1</v>
      </c>
      <c r="E52" s="11">
        <v>337</v>
      </c>
      <c r="F52" s="11">
        <v>14</v>
      </c>
      <c r="G52" s="11">
        <v>50</v>
      </c>
      <c r="H52" s="5">
        <f t="shared" si="0"/>
        <v>337.247222222222</v>
      </c>
      <c r="I52" s="11">
        <v>90</v>
      </c>
      <c r="J52" s="11">
        <v>34</v>
      </c>
      <c r="K52" s="11">
        <v>23</v>
      </c>
      <c r="L52" s="5">
        <f t="shared" si="1"/>
        <v>90.5730555555556</v>
      </c>
      <c r="M52" s="5">
        <f t="shared" si="2"/>
        <v>11.1988796551277</v>
      </c>
      <c r="N52" s="5">
        <f t="shared" si="3"/>
        <v>-0.112011639562605</v>
      </c>
      <c r="O52">
        <v>1.38</v>
      </c>
      <c r="P52">
        <v>1519.721</v>
      </c>
      <c r="Q52" s="5">
        <f t="shared" si="4"/>
        <v>1519.93298836044</v>
      </c>
      <c r="U52" s="15">
        <v>222.6</v>
      </c>
      <c r="W52" s="15">
        <f t="shared" si="7"/>
        <v>355598.67845931</v>
      </c>
      <c r="X52" s="15">
        <f t="shared" si="8"/>
        <v>3055532.1103022</v>
      </c>
    </row>
    <row r="53" ht="14.25" customHeight="1" spans="1:24">
      <c r="A53" s="10" t="s">
        <v>74</v>
      </c>
      <c r="B53" s="11">
        <v>1.086</v>
      </c>
      <c r="C53" s="11">
        <v>1.042</v>
      </c>
      <c r="D53" s="5">
        <v>1</v>
      </c>
      <c r="E53" s="11">
        <v>327</v>
      </c>
      <c r="F53" s="11">
        <v>59</v>
      </c>
      <c r="G53" s="11">
        <v>22</v>
      </c>
      <c r="H53" s="5">
        <f t="shared" si="0"/>
        <v>327.989444444444</v>
      </c>
      <c r="I53" s="11">
        <v>91</v>
      </c>
      <c r="J53" s="11">
        <v>14</v>
      </c>
      <c r="K53" s="11">
        <v>18</v>
      </c>
      <c r="L53" s="5">
        <f t="shared" si="1"/>
        <v>91.2383333333333</v>
      </c>
      <c r="M53" s="5">
        <f t="shared" si="2"/>
        <v>8.59598338052769</v>
      </c>
      <c r="N53" s="5">
        <f t="shared" si="3"/>
        <v>-0.185813869853637</v>
      </c>
      <c r="O53">
        <v>1.38</v>
      </c>
      <c r="P53">
        <v>1519.721</v>
      </c>
      <c r="Q53" s="5">
        <f t="shared" si="4"/>
        <v>1519.87318613015</v>
      </c>
      <c r="U53" s="15">
        <v>223.6</v>
      </c>
      <c r="W53" s="15">
        <f t="shared" si="7"/>
        <v>355600.765068851</v>
      </c>
      <c r="X53" s="15">
        <f t="shared" si="8"/>
        <v>3055542.8362736</v>
      </c>
    </row>
    <row r="54" ht="14.25" customHeight="1" spans="1:24">
      <c r="A54" s="10" t="s">
        <v>75</v>
      </c>
      <c r="B54" s="11">
        <v>1.098</v>
      </c>
      <c r="C54" s="11">
        <v>1.048</v>
      </c>
      <c r="D54" s="5">
        <v>1</v>
      </c>
      <c r="E54" s="11">
        <v>324</v>
      </c>
      <c r="F54" s="11">
        <v>3</v>
      </c>
      <c r="G54" s="11">
        <v>7</v>
      </c>
      <c r="H54" s="5">
        <f t="shared" si="0"/>
        <v>324.051944444444</v>
      </c>
      <c r="I54" s="11">
        <v>91</v>
      </c>
      <c r="J54" s="11">
        <v>19</v>
      </c>
      <c r="K54" s="11">
        <v>53</v>
      </c>
      <c r="L54" s="5">
        <f t="shared" si="1"/>
        <v>91.3313888888889</v>
      </c>
      <c r="M54" s="5">
        <f t="shared" si="2"/>
        <v>9.79470930777416</v>
      </c>
      <c r="N54" s="5">
        <f t="shared" si="3"/>
        <v>-0.227641807208326</v>
      </c>
      <c r="O54">
        <v>1.38</v>
      </c>
      <c r="P54">
        <v>1519.721</v>
      </c>
      <c r="Q54" s="5">
        <f t="shared" si="4"/>
        <v>1519.82535819279</v>
      </c>
      <c r="U54" s="15">
        <v>224.6</v>
      </c>
      <c r="W54" s="15">
        <f t="shared" si="7"/>
        <v>355599.418937761</v>
      </c>
      <c r="X54" s="15">
        <f t="shared" si="8"/>
        <v>3055549.62357542</v>
      </c>
    </row>
    <row r="55" ht="14.25" customHeight="1" spans="1:24">
      <c r="A55" s="10" t="s">
        <v>76</v>
      </c>
      <c r="B55" s="11">
        <v>1.08</v>
      </c>
      <c r="C55" s="11">
        <v>1.04</v>
      </c>
      <c r="D55" s="5">
        <v>1</v>
      </c>
      <c r="E55" s="11">
        <v>307</v>
      </c>
      <c r="F55" s="11">
        <v>47</v>
      </c>
      <c r="G55" s="11">
        <v>9</v>
      </c>
      <c r="H55" s="5">
        <f t="shared" si="0"/>
        <v>307.785833333333</v>
      </c>
      <c r="I55" s="11">
        <v>92</v>
      </c>
      <c r="J55" s="11">
        <v>17</v>
      </c>
      <c r="K55" s="11">
        <v>42</v>
      </c>
      <c r="L55" s="5">
        <f t="shared" si="1"/>
        <v>92.295</v>
      </c>
      <c r="M55" s="5">
        <f t="shared" si="2"/>
        <v>7.98717144250891</v>
      </c>
      <c r="N55" s="5">
        <f t="shared" si="3"/>
        <v>-0.320099809499236</v>
      </c>
      <c r="O55">
        <v>1.38</v>
      </c>
      <c r="P55">
        <v>1519.721</v>
      </c>
      <c r="Q55" s="5">
        <f t="shared" si="4"/>
        <v>1519.7409001905</v>
      </c>
      <c r="U55" s="15">
        <v>225.6</v>
      </c>
      <c r="W55" s="15">
        <f t="shared" si="7"/>
        <v>355607.048430795</v>
      </c>
      <c r="X55" s="15">
        <f t="shared" si="8"/>
        <v>3055565.0105358</v>
      </c>
    </row>
    <row r="56" ht="14.25" customHeight="1" spans="1:24">
      <c r="A56" s="10" t="s">
        <v>77</v>
      </c>
      <c r="B56" s="11">
        <v>1.092</v>
      </c>
      <c r="C56" s="11">
        <v>1.046</v>
      </c>
      <c r="D56" s="5">
        <v>1</v>
      </c>
      <c r="E56" s="11">
        <v>307</v>
      </c>
      <c r="F56" s="11">
        <v>53</v>
      </c>
      <c r="G56" s="11">
        <v>50</v>
      </c>
      <c r="H56" s="5">
        <f t="shared" si="0"/>
        <v>307.897222222222</v>
      </c>
      <c r="I56" s="11">
        <v>91</v>
      </c>
      <c r="J56" s="11">
        <v>55</v>
      </c>
      <c r="K56" s="11">
        <v>28</v>
      </c>
      <c r="L56" s="5">
        <f t="shared" si="1"/>
        <v>91.9244444444444</v>
      </c>
      <c r="M56" s="5">
        <f t="shared" si="2"/>
        <v>9.18962495481194</v>
      </c>
      <c r="N56" s="5">
        <f t="shared" si="3"/>
        <v>-0.308776252596532</v>
      </c>
      <c r="O56">
        <v>1.38</v>
      </c>
      <c r="P56">
        <v>1519.721</v>
      </c>
      <c r="Q56" s="5">
        <f t="shared" si="4"/>
        <v>1519.7462237474</v>
      </c>
      <c r="U56" s="15">
        <v>226.6</v>
      </c>
      <c r="W56" s="15">
        <f t="shared" si="7"/>
        <v>355603.242676962</v>
      </c>
      <c r="X56" s="15">
        <f t="shared" si="8"/>
        <v>3055568.80466411</v>
      </c>
    </row>
    <row r="57" ht="14.25" customHeight="1" spans="1:24">
      <c r="A57" s="10" t="s">
        <v>78</v>
      </c>
      <c r="B57" s="11">
        <v>1.08</v>
      </c>
      <c r="C57" s="11">
        <v>1.04</v>
      </c>
      <c r="D57" s="5">
        <v>1</v>
      </c>
      <c r="E57" s="11">
        <v>296</v>
      </c>
      <c r="F57" s="11">
        <v>6</v>
      </c>
      <c r="G57" s="11">
        <v>20</v>
      </c>
      <c r="H57" s="5">
        <f t="shared" si="0"/>
        <v>296.105555555556</v>
      </c>
      <c r="I57" s="11">
        <v>93</v>
      </c>
      <c r="J57" s="11">
        <v>5</v>
      </c>
      <c r="K57" s="11">
        <v>18</v>
      </c>
      <c r="L57" s="5">
        <f t="shared" si="1"/>
        <v>93.0883333333333</v>
      </c>
      <c r="M57" s="5">
        <f t="shared" si="2"/>
        <v>7.97677945426904</v>
      </c>
      <c r="N57" s="5">
        <f t="shared" si="3"/>
        <v>-0.430377941004961</v>
      </c>
      <c r="O57">
        <v>1.38</v>
      </c>
      <c r="P57">
        <v>1519.721</v>
      </c>
      <c r="Q57" s="5">
        <f t="shared" si="4"/>
        <v>1519.630622059</v>
      </c>
      <c r="U57" s="15">
        <v>227.6</v>
      </c>
      <c r="W57" s="15">
        <f t="shared" si="7"/>
        <v>355608.292271007</v>
      </c>
      <c r="X57" s="15">
        <f t="shared" si="8"/>
        <v>3055580.69231703</v>
      </c>
    </row>
    <row r="58" ht="14.25" customHeight="1" spans="1:24">
      <c r="A58" s="10" t="s">
        <v>79</v>
      </c>
      <c r="B58" s="11">
        <v>1.094</v>
      </c>
      <c r="C58" s="11">
        <v>1.043</v>
      </c>
      <c r="D58" s="5">
        <v>1</v>
      </c>
      <c r="E58" s="11">
        <v>297</v>
      </c>
      <c r="F58" s="11">
        <v>46</v>
      </c>
      <c r="G58" s="11">
        <v>46</v>
      </c>
      <c r="H58" s="5">
        <f t="shared" si="0"/>
        <v>297.779444444444</v>
      </c>
      <c r="I58" s="11">
        <v>92</v>
      </c>
      <c r="J58" s="11">
        <v>32</v>
      </c>
      <c r="K58" s="11">
        <v>55</v>
      </c>
      <c r="L58" s="5">
        <f t="shared" si="1"/>
        <v>92.5486111111111</v>
      </c>
      <c r="M58" s="5">
        <f t="shared" si="2"/>
        <v>9.38141325759945</v>
      </c>
      <c r="N58" s="5">
        <f t="shared" si="3"/>
        <v>-0.417576234443687</v>
      </c>
      <c r="O58">
        <v>1.38</v>
      </c>
      <c r="P58">
        <v>1519.721</v>
      </c>
      <c r="Q58" s="5">
        <f t="shared" si="4"/>
        <v>1519.64042376556</v>
      </c>
      <c r="U58" s="15">
        <v>228.6</v>
      </c>
      <c r="W58" s="15">
        <f t="shared" si="7"/>
        <v>355603.585342311</v>
      </c>
      <c r="X58" s="15">
        <f t="shared" si="8"/>
        <v>3055583.43192026</v>
      </c>
    </row>
    <row r="59" ht="14.25" customHeight="1" spans="1:24">
      <c r="A59" s="10" t="s">
        <v>80</v>
      </c>
      <c r="B59" s="11">
        <v>1.076</v>
      </c>
      <c r="C59" s="11">
        <v>1.036</v>
      </c>
      <c r="D59" s="5">
        <v>1</v>
      </c>
      <c r="E59" s="11">
        <v>294</v>
      </c>
      <c r="F59" s="11">
        <v>10</v>
      </c>
      <c r="G59" s="11">
        <v>43</v>
      </c>
      <c r="H59" s="5">
        <f t="shared" si="0"/>
        <v>294.178611111111</v>
      </c>
      <c r="I59" s="11">
        <v>93</v>
      </c>
      <c r="J59" s="11">
        <v>29</v>
      </c>
      <c r="K59" s="11">
        <v>40</v>
      </c>
      <c r="L59" s="5">
        <f t="shared" si="1"/>
        <v>93.4944444444444</v>
      </c>
      <c r="M59" s="5">
        <f t="shared" si="2"/>
        <v>7.57176511288159</v>
      </c>
      <c r="N59" s="5">
        <f t="shared" si="3"/>
        <v>-0.462372072306916</v>
      </c>
      <c r="O59">
        <v>1.38</v>
      </c>
      <c r="P59">
        <v>1519.721</v>
      </c>
      <c r="Q59" s="5">
        <f t="shared" si="4"/>
        <v>1519.60262792769</v>
      </c>
      <c r="U59" s="15">
        <v>229.6</v>
      </c>
      <c r="W59" s="15">
        <f t="shared" si="7"/>
        <v>355602.924718281</v>
      </c>
      <c r="X59" s="15">
        <f t="shared" si="8"/>
        <v>3055589.69398779</v>
      </c>
    </row>
    <row r="60" ht="14.25" customHeight="1" spans="1:24">
      <c r="A60" s="10" t="s">
        <v>81</v>
      </c>
      <c r="B60" s="11">
        <v>1.067</v>
      </c>
      <c r="C60" s="11">
        <v>1.033</v>
      </c>
      <c r="D60" s="5">
        <v>1</v>
      </c>
      <c r="E60" s="11">
        <v>285</v>
      </c>
      <c r="F60" s="11">
        <v>30</v>
      </c>
      <c r="G60" s="11">
        <v>4</v>
      </c>
      <c r="H60" s="5">
        <f t="shared" si="0"/>
        <v>285.501111111111</v>
      </c>
      <c r="I60" s="11">
        <v>94</v>
      </c>
      <c r="J60" s="11">
        <v>17</v>
      </c>
      <c r="K60" s="11">
        <v>34</v>
      </c>
      <c r="L60" s="5">
        <f t="shared" si="1"/>
        <v>94.2927777777778</v>
      </c>
      <c r="M60" s="5">
        <f t="shared" si="2"/>
        <v>6.66246006063812</v>
      </c>
      <c r="N60" s="5">
        <f t="shared" si="3"/>
        <v>-0.500108334940836</v>
      </c>
      <c r="O60">
        <v>1.38</v>
      </c>
      <c r="P60">
        <v>1519.721</v>
      </c>
      <c r="Q60" s="5">
        <f t="shared" si="4"/>
        <v>1519.56789166506</v>
      </c>
      <c r="U60" s="15">
        <v>230.6</v>
      </c>
      <c r="W60" s="15">
        <f t="shared" si="7"/>
        <v>355606.336706078</v>
      </c>
      <c r="X60" s="15">
        <f t="shared" si="8"/>
        <v>3055599.14073334</v>
      </c>
    </row>
    <row r="61" ht="14.25" customHeight="1" spans="1:24">
      <c r="A61" s="10" t="s">
        <v>82</v>
      </c>
      <c r="B61" s="11">
        <v>1.063</v>
      </c>
      <c r="C61" s="11">
        <v>1.031</v>
      </c>
      <c r="D61" s="5">
        <v>1</v>
      </c>
      <c r="E61" s="11">
        <v>309</v>
      </c>
      <c r="F61" s="11">
        <v>29</v>
      </c>
      <c r="G61" s="11">
        <v>51</v>
      </c>
      <c r="H61" s="5">
        <f t="shared" si="0"/>
        <v>309.4975</v>
      </c>
      <c r="I61" s="11">
        <v>93</v>
      </c>
      <c r="J61" s="11">
        <v>41</v>
      </c>
      <c r="K61" s="11">
        <v>59</v>
      </c>
      <c r="L61" s="5">
        <f t="shared" si="1"/>
        <v>93.6997222222222</v>
      </c>
      <c r="M61" s="5">
        <f t="shared" si="2"/>
        <v>6.27376809519752</v>
      </c>
      <c r="N61" s="5">
        <f t="shared" si="3"/>
        <v>-0.405675840328209</v>
      </c>
      <c r="O61">
        <v>1.38</v>
      </c>
      <c r="P61">
        <v>1519.721</v>
      </c>
      <c r="Q61" s="5">
        <f t="shared" si="4"/>
        <v>1519.66432415967</v>
      </c>
      <c r="U61" s="15">
        <v>231.6</v>
      </c>
      <c r="W61" s="15">
        <f t="shared" si="7"/>
        <v>355584.40183409</v>
      </c>
      <c r="X61" s="15">
        <f t="shared" si="8"/>
        <v>3055588.113315</v>
      </c>
    </row>
    <row r="62" ht="14.25" customHeight="1" spans="1:24">
      <c r="A62" s="10" t="s">
        <v>83</v>
      </c>
      <c r="B62" s="11">
        <v>1.051</v>
      </c>
      <c r="C62" s="11">
        <v>1.026</v>
      </c>
      <c r="D62" s="5">
        <v>1</v>
      </c>
      <c r="E62" s="11">
        <v>303</v>
      </c>
      <c r="F62" s="11">
        <v>47</v>
      </c>
      <c r="G62" s="11">
        <v>6</v>
      </c>
      <c r="H62" s="5">
        <f t="shared" si="0"/>
        <v>303.785</v>
      </c>
      <c r="I62" s="11">
        <v>94</v>
      </c>
      <c r="J62" s="11">
        <v>42</v>
      </c>
      <c r="K62" s="11">
        <v>15</v>
      </c>
      <c r="L62" s="5">
        <f t="shared" si="1"/>
        <v>94.7041666666667</v>
      </c>
      <c r="M62" s="5">
        <f t="shared" si="2"/>
        <v>5.06569841075317</v>
      </c>
      <c r="N62" s="5">
        <f t="shared" si="3"/>
        <v>-0.416847101625958</v>
      </c>
      <c r="O62">
        <v>1.38</v>
      </c>
      <c r="P62">
        <v>1519.721</v>
      </c>
      <c r="Q62" s="5">
        <f t="shared" si="4"/>
        <v>1519.65815289837</v>
      </c>
      <c r="U62" s="15">
        <v>232.6</v>
      </c>
      <c r="W62" s="15">
        <f t="shared" si="7"/>
        <v>355585.621754403</v>
      </c>
      <c r="X62" s="15">
        <f t="shared" si="8"/>
        <v>3055595.84533066</v>
      </c>
    </row>
    <row r="63" ht="14.25" customHeight="1" spans="1:24">
      <c r="A63" s="10" t="s">
        <v>84</v>
      </c>
      <c r="B63" s="11">
        <v>1.032</v>
      </c>
      <c r="C63" s="11">
        <v>1.016</v>
      </c>
      <c r="D63" s="5">
        <v>1</v>
      </c>
      <c r="E63" s="11">
        <v>308</v>
      </c>
      <c r="F63" s="11">
        <v>30</v>
      </c>
      <c r="G63" s="11">
        <v>11</v>
      </c>
      <c r="H63" s="5">
        <f t="shared" si="0"/>
        <v>308.503055555556</v>
      </c>
      <c r="I63" s="11">
        <v>95</v>
      </c>
      <c r="J63" s="11">
        <v>26</v>
      </c>
      <c r="K63" s="11">
        <v>48</v>
      </c>
      <c r="L63" s="5">
        <f t="shared" si="1"/>
        <v>95.4466666666667</v>
      </c>
      <c r="M63" s="5">
        <f t="shared" si="2"/>
        <v>3.17116913328499</v>
      </c>
      <c r="N63" s="5">
        <f t="shared" si="3"/>
        <v>-0.302369897001188</v>
      </c>
      <c r="O63">
        <v>1.38</v>
      </c>
      <c r="P63">
        <v>1519.721</v>
      </c>
      <c r="Q63" s="5">
        <f t="shared" si="4"/>
        <v>1519.782630103</v>
      </c>
      <c r="U63" s="15">
        <v>233.6</v>
      </c>
      <c r="W63" s="15">
        <f t="shared" si="7"/>
        <v>355578.640804021</v>
      </c>
      <c r="X63" s="15">
        <f t="shared" si="8"/>
        <v>3055597.28546039</v>
      </c>
    </row>
    <row r="64" ht="14.25" customHeight="1" spans="1:24">
      <c r="A64" s="10" t="s">
        <v>85</v>
      </c>
      <c r="B64" s="11">
        <v>1.039</v>
      </c>
      <c r="C64" s="11">
        <v>1.019</v>
      </c>
      <c r="D64" s="5">
        <v>1</v>
      </c>
      <c r="E64" s="11">
        <v>289</v>
      </c>
      <c r="F64" s="12">
        <v>6</v>
      </c>
      <c r="G64" s="11">
        <v>37</v>
      </c>
      <c r="H64" s="5">
        <f t="shared" si="0"/>
        <v>289.110277777778</v>
      </c>
      <c r="I64" s="11">
        <v>95</v>
      </c>
      <c r="J64" s="11">
        <v>36</v>
      </c>
      <c r="K64" s="11">
        <v>5</v>
      </c>
      <c r="L64" s="5">
        <f t="shared" si="1"/>
        <v>95.6013888888889</v>
      </c>
      <c r="M64" s="5">
        <f t="shared" si="2"/>
        <v>3.86284418802608</v>
      </c>
      <c r="N64" s="5">
        <f t="shared" si="3"/>
        <v>-0.378849722627358</v>
      </c>
      <c r="O64">
        <v>1.38</v>
      </c>
      <c r="P64">
        <v>1519.721</v>
      </c>
      <c r="Q64" s="5">
        <f t="shared" si="4"/>
        <v>1519.70315027737</v>
      </c>
      <c r="U64" s="15">
        <v>234.6</v>
      </c>
      <c r="W64" s="15">
        <f t="shared" si="7"/>
        <v>355591.291176463</v>
      </c>
      <c r="X64" s="15">
        <f t="shared" si="8"/>
        <v>3055612.88085948</v>
      </c>
    </row>
    <row r="65" ht="14.25" customHeight="1" spans="1:24">
      <c r="A65" s="10" t="s">
        <v>86</v>
      </c>
      <c r="B65" s="11">
        <v>1.024</v>
      </c>
      <c r="C65" s="11">
        <v>1.019</v>
      </c>
      <c r="D65" s="5">
        <v>1</v>
      </c>
      <c r="E65" s="11">
        <v>252</v>
      </c>
      <c r="F65" s="11">
        <v>13</v>
      </c>
      <c r="G65" s="11">
        <v>58</v>
      </c>
      <c r="H65" s="5">
        <f t="shared" si="0"/>
        <v>252.232777777778</v>
      </c>
      <c r="I65" s="11">
        <v>103</v>
      </c>
      <c r="J65" s="11">
        <v>16</v>
      </c>
      <c r="K65" s="11">
        <v>25</v>
      </c>
      <c r="L65" s="5">
        <f t="shared" si="1"/>
        <v>103.273611111111</v>
      </c>
      <c r="M65" s="5">
        <f t="shared" si="2"/>
        <v>2.27347957070613</v>
      </c>
      <c r="N65" s="5">
        <f t="shared" si="3"/>
        <v>-0.536322301677436</v>
      </c>
      <c r="O65">
        <v>1.38</v>
      </c>
      <c r="P65">
        <v>1519.721</v>
      </c>
      <c r="Q65" s="5">
        <f t="shared" si="4"/>
        <v>1519.54567769832</v>
      </c>
      <c r="U65" s="15">
        <v>235.6</v>
      </c>
      <c r="W65" s="15">
        <f t="shared" si="7"/>
        <v>355618.832330271</v>
      </c>
      <c r="X65" s="15">
        <f t="shared" si="8"/>
        <v>3055637.85380348</v>
      </c>
    </row>
    <row r="66" ht="14.25" customHeight="1" spans="1:24">
      <c r="A66" s="10" t="s">
        <v>87</v>
      </c>
      <c r="B66" s="11">
        <v>1.042</v>
      </c>
      <c r="C66" s="11">
        <v>1.021</v>
      </c>
      <c r="D66" s="5">
        <v>1</v>
      </c>
      <c r="E66" s="11">
        <v>285</v>
      </c>
      <c r="F66" s="11">
        <v>29</v>
      </c>
      <c r="G66" s="11">
        <v>58</v>
      </c>
      <c r="H66" s="5">
        <f t="shared" si="0"/>
        <v>285.499444444444</v>
      </c>
      <c r="I66" s="11">
        <v>98</v>
      </c>
      <c r="J66" s="11">
        <v>56</v>
      </c>
      <c r="K66" s="11">
        <v>14</v>
      </c>
      <c r="L66" s="5">
        <f t="shared" si="1"/>
        <v>98.9372222222222</v>
      </c>
      <c r="M66" s="5">
        <f t="shared" si="2"/>
        <v>4.09863593801952</v>
      </c>
      <c r="N66" s="5">
        <f t="shared" si="3"/>
        <v>-0.644557512761168</v>
      </c>
      <c r="O66">
        <v>1.38</v>
      </c>
      <c r="P66">
        <v>1519.721</v>
      </c>
      <c r="Q66" s="5">
        <f t="shared" si="4"/>
        <v>1519.43544248724</v>
      </c>
      <c r="U66" s="15">
        <v>236.6</v>
      </c>
      <c r="W66" s="15">
        <f t="shared" si="7"/>
        <v>355588.604398758</v>
      </c>
      <c r="X66" s="15">
        <f t="shared" si="8"/>
        <v>3055623.19505466</v>
      </c>
    </row>
    <row r="67" ht="14.25" customHeight="1" spans="1:24">
      <c r="A67" s="10" t="s">
        <v>88</v>
      </c>
      <c r="B67" s="11">
        <v>1.036</v>
      </c>
      <c r="C67" s="11">
        <v>1.018</v>
      </c>
      <c r="D67" s="5">
        <v>1</v>
      </c>
      <c r="E67" s="11">
        <v>272</v>
      </c>
      <c r="F67" s="11">
        <v>37</v>
      </c>
      <c r="G67" s="11">
        <v>42</v>
      </c>
      <c r="H67" s="5">
        <f t="shared" si="0"/>
        <v>272.628333333333</v>
      </c>
      <c r="I67" s="11">
        <v>106</v>
      </c>
      <c r="J67" s="11">
        <v>21</v>
      </c>
      <c r="K67" s="11">
        <v>14</v>
      </c>
      <c r="L67" s="5">
        <f t="shared" si="1"/>
        <v>106.353888888889</v>
      </c>
      <c r="M67" s="5">
        <f t="shared" si="2"/>
        <v>3.31458738793291</v>
      </c>
      <c r="N67" s="5">
        <f t="shared" si="3"/>
        <v>-0.972638187773115</v>
      </c>
      <c r="O67">
        <v>1.38</v>
      </c>
      <c r="P67">
        <v>1519.721</v>
      </c>
      <c r="Q67" s="5">
        <f t="shared" si="4"/>
        <v>1519.11036181223</v>
      </c>
      <c r="U67" s="15">
        <v>237.6</v>
      </c>
      <c r="W67" s="15">
        <f t="shared" si="7"/>
        <v>355596.765284804</v>
      </c>
      <c r="X67" s="15">
        <f t="shared" si="8"/>
        <v>3055634.27543405</v>
      </c>
    </row>
    <row r="68" ht="14.25" customHeight="1" spans="1:24">
      <c r="A68" s="10" t="s">
        <v>89</v>
      </c>
      <c r="B68" s="11">
        <v>1.043</v>
      </c>
      <c r="C68" s="11">
        <v>1.013</v>
      </c>
      <c r="D68" s="5">
        <v>1</v>
      </c>
      <c r="E68" s="11">
        <v>283</v>
      </c>
      <c r="F68" s="11">
        <v>3</v>
      </c>
      <c r="G68" s="11">
        <v>9</v>
      </c>
      <c r="H68" s="5">
        <f t="shared" si="0"/>
        <v>283.0525</v>
      </c>
      <c r="I68" s="11">
        <v>100</v>
      </c>
      <c r="J68" s="12">
        <v>51</v>
      </c>
      <c r="K68" s="11">
        <v>12</v>
      </c>
      <c r="L68" s="5">
        <f t="shared" si="1"/>
        <v>100.853333333333</v>
      </c>
      <c r="M68" s="5">
        <f t="shared" si="2"/>
        <v>4.14754251800006</v>
      </c>
      <c r="N68" s="5">
        <f t="shared" si="3"/>
        <v>-0.795187958146971</v>
      </c>
      <c r="O68">
        <v>1.38</v>
      </c>
      <c r="P68">
        <v>1519.721</v>
      </c>
      <c r="Q68" s="5">
        <f t="shared" si="4"/>
        <v>1519.29281204185</v>
      </c>
      <c r="U68" s="15">
        <v>238.6</v>
      </c>
      <c r="W68" s="15">
        <f t="shared" ref="W68:W99" si="9">$S$3+(H68*SIN(U68*3.141592654/180))</f>
        <v>355585.353312874</v>
      </c>
      <c r="X68" s="15">
        <f t="shared" ref="X68:X99" si="10">$T$3+(H68*COS(U68*3.141592654/180))</f>
        <v>3055632.88392131</v>
      </c>
    </row>
    <row r="69" ht="14.25" customHeight="1" spans="1:24">
      <c r="A69" s="10" t="s">
        <v>90</v>
      </c>
      <c r="B69" s="11">
        <v>1.043</v>
      </c>
      <c r="C69" s="11">
        <v>1.021</v>
      </c>
      <c r="D69" s="5">
        <v>1</v>
      </c>
      <c r="E69" s="11">
        <v>270</v>
      </c>
      <c r="F69" s="11">
        <v>45</v>
      </c>
      <c r="G69" s="11">
        <v>55</v>
      </c>
      <c r="H69" s="5">
        <f t="shared" si="0"/>
        <v>270.765277777778</v>
      </c>
      <c r="I69" s="11">
        <v>107</v>
      </c>
      <c r="J69" s="11">
        <v>17</v>
      </c>
      <c r="K69" s="11">
        <v>34</v>
      </c>
      <c r="L69" s="5">
        <f t="shared" si="1"/>
        <v>107.292777777778</v>
      </c>
      <c r="M69" s="5">
        <f t="shared" si="2"/>
        <v>3.92005091973636</v>
      </c>
      <c r="N69" s="5">
        <f t="shared" si="3"/>
        <v>-1.2204178553022</v>
      </c>
      <c r="O69">
        <v>1.38</v>
      </c>
      <c r="P69">
        <v>1519.721</v>
      </c>
      <c r="Q69" s="5">
        <f t="shared" si="4"/>
        <v>1518.8595821447</v>
      </c>
      <c r="U69" s="15">
        <v>239.6</v>
      </c>
      <c r="W69" s="15">
        <f t="shared" si="9"/>
        <v>355593.414246695</v>
      </c>
      <c r="X69" s="15">
        <f t="shared" si="10"/>
        <v>3055643.34062742</v>
      </c>
    </row>
    <row r="70" ht="14.25" customHeight="1" spans="1:24">
      <c r="A70" s="10" t="s">
        <v>91</v>
      </c>
      <c r="B70" s="11">
        <v>1.052</v>
      </c>
      <c r="C70" s="11">
        <v>1.026</v>
      </c>
      <c r="D70" s="5">
        <v>1</v>
      </c>
      <c r="E70" s="11">
        <v>277</v>
      </c>
      <c r="F70" s="11">
        <v>9</v>
      </c>
      <c r="G70" s="11">
        <v>25</v>
      </c>
      <c r="H70" s="5">
        <f t="shared" si="0"/>
        <v>277.156944444444</v>
      </c>
      <c r="I70" s="11">
        <v>101</v>
      </c>
      <c r="J70" s="11">
        <v>35</v>
      </c>
      <c r="K70" s="11">
        <v>45</v>
      </c>
      <c r="L70" s="5">
        <f t="shared" si="1"/>
        <v>101.595833333333</v>
      </c>
      <c r="M70" s="5">
        <f t="shared" si="2"/>
        <v>4.98990082776002</v>
      </c>
      <c r="N70" s="5">
        <f t="shared" si="3"/>
        <v>-1.02390137878216</v>
      </c>
      <c r="O70">
        <v>1.38</v>
      </c>
      <c r="P70">
        <v>1519.721</v>
      </c>
      <c r="Q70" s="5">
        <f t="shared" si="4"/>
        <v>1519.05109862122</v>
      </c>
      <c r="U70" s="15">
        <v>240.6</v>
      </c>
      <c r="W70" s="15">
        <f t="shared" si="9"/>
        <v>355585.490042077</v>
      </c>
      <c r="X70" s="15">
        <f t="shared" si="10"/>
        <v>3055644.29961576</v>
      </c>
    </row>
    <row r="71" ht="14.25" customHeight="1" spans="1:24">
      <c r="A71" s="10" t="s">
        <v>92</v>
      </c>
      <c r="B71" s="11">
        <v>1.049</v>
      </c>
      <c r="C71" s="11">
        <v>1.024</v>
      </c>
      <c r="D71" s="5">
        <v>1</v>
      </c>
      <c r="E71" s="11">
        <v>266</v>
      </c>
      <c r="F71" s="11">
        <v>30</v>
      </c>
      <c r="G71" s="11">
        <v>51</v>
      </c>
      <c r="H71" s="5">
        <f t="shared" si="0"/>
        <v>266.514166666667</v>
      </c>
      <c r="I71" s="11">
        <v>106</v>
      </c>
      <c r="J71" s="11">
        <v>6</v>
      </c>
      <c r="K71" s="11">
        <v>31</v>
      </c>
      <c r="L71" s="5">
        <f t="shared" si="1"/>
        <v>106.108611111111</v>
      </c>
      <c r="M71" s="5">
        <f t="shared" si="2"/>
        <v>4.52278073622983</v>
      </c>
      <c r="N71" s="5">
        <f t="shared" si="3"/>
        <v>-1.3061699810953</v>
      </c>
      <c r="O71">
        <v>1.38</v>
      </c>
      <c r="P71">
        <v>1519.721</v>
      </c>
      <c r="Q71" s="5">
        <f t="shared" si="4"/>
        <v>1518.7708300189</v>
      </c>
      <c r="U71" s="15">
        <v>241.6</v>
      </c>
      <c r="W71" s="15">
        <f t="shared" si="9"/>
        <v>355592.514193573</v>
      </c>
      <c r="X71" s="15">
        <f t="shared" si="10"/>
        <v>3055653.5964104</v>
      </c>
    </row>
    <row r="72" ht="14.25" customHeight="1" spans="1:24">
      <c r="A72" s="10" t="s">
        <v>93</v>
      </c>
      <c r="B72" s="11">
        <v>1.058</v>
      </c>
      <c r="C72" s="11">
        <v>1.03</v>
      </c>
      <c r="D72" s="5">
        <v>1</v>
      </c>
      <c r="E72" s="11">
        <v>272</v>
      </c>
      <c r="F72" s="11">
        <v>11</v>
      </c>
      <c r="G72" s="11">
        <v>42</v>
      </c>
      <c r="H72" s="5">
        <f t="shared" si="0"/>
        <v>272.195</v>
      </c>
      <c r="I72" s="11">
        <v>101</v>
      </c>
      <c r="J72" s="11">
        <v>50</v>
      </c>
      <c r="K72" s="11">
        <v>8</v>
      </c>
      <c r="L72" s="5">
        <f t="shared" si="1"/>
        <v>101.835555555556</v>
      </c>
      <c r="M72" s="5">
        <f t="shared" si="2"/>
        <v>5.55600891038415</v>
      </c>
      <c r="N72" s="5">
        <f t="shared" si="3"/>
        <v>-1.16430952412151</v>
      </c>
      <c r="O72">
        <v>1.38</v>
      </c>
      <c r="P72">
        <v>1519.721</v>
      </c>
      <c r="Q72" s="5">
        <f t="shared" si="4"/>
        <v>1518.90669047588</v>
      </c>
      <c r="U72" s="15">
        <v>242.6</v>
      </c>
      <c r="W72" s="15">
        <f t="shared" si="9"/>
        <v>355585.294091174</v>
      </c>
      <c r="X72" s="15">
        <f t="shared" si="10"/>
        <v>3055655.09291971</v>
      </c>
    </row>
    <row r="73" ht="14.25" customHeight="1" spans="1:24">
      <c r="A73" s="10" t="s">
        <v>94</v>
      </c>
      <c r="B73" s="11">
        <v>1.058</v>
      </c>
      <c r="C73" s="11">
        <v>1.028</v>
      </c>
      <c r="D73" s="5">
        <v>1</v>
      </c>
      <c r="E73" s="11">
        <v>264</v>
      </c>
      <c r="F73" s="11">
        <v>21</v>
      </c>
      <c r="G73" s="11">
        <v>11</v>
      </c>
      <c r="H73" s="5">
        <f t="shared" si="0"/>
        <v>264.353055555556</v>
      </c>
      <c r="I73" s="11">
        <v>104</v>
      </c>
      <c r="J73" s="11">
        <v>47</v>
      </c>
      <c r="K73" s="11">
        <v>8</v>
      </c>
      <c r="L73" s="5">
        <f t="shared" si="1"/>
        <v>104.785555555556</v>
      </c>
      <c r="M73" s="5">
        <f t="shared" si="2"/>
        <v>5.42225721585742</v>
      </c>
      <c r="N73" s="5">
        <f t="shared" si="3"/>
        <v>-1.43115985726794</v>
      </c>
      <c r="O73">
        <v>1.38</v>
      </c>
      <c r="P73">
        <v>1519.721</v>
      </c>
      <c r="Q73" s="5">
        <f t="shared" si="4"/>
        <v>1518.64184014273</v>
      </c>
      <c r="U73" s="15">
        <v>243.6</v>
      </c>
      <c r="W73" s="15">
        <f t="shared" si="9"/>
        <v>355590.168859218</v>
      </c>
      <c r="X73" s="15">
        <f t="shared" si="10"/>
        <v>3055662.81633191</v>
      </c>
    </row>
    <row r="74" ht="14.25" customHeight="1" spans="1:24">
      <c r="A74" s="10" t="s">
        <v>95</v>
      </c>
      <c r="B74" s="11">
        <v>1.032</v>
      </c>
      <c r="C74" s="11">
        <v>1.065</v>
      </c>
      <c r="D74" s="5">
        <v>1</v>
      </c>
      <c r="E74" s="11">
        <v>268</v>
      </c>
      <c r="F74" s="11">
        <v>52</v>
      </c>
      <c r="G74" s="11">
        <v>2</v>
      </c>
      <c r="H74" s="5">
        <f t="shared" si="0"/>
        <v>268.867222222222</v>
      </c>
      <c r="I74" s="11">
        <v>100</v>
      </c>
      <c r="J74" s="11">
        <v>27</v>
      </c>
      <c r="K74" s="11">
        <v>59</v>
      </c>
      <c r="L74" s="5">
        <f t="shared" si="1"/>
        <v>100.466388888889</v>
      </c>
      <c r="M74" s="5">
        <f t="shared" si="2"/>
        <v>3.09440038197607</v>
      </c>
      <c r="N74" s="5">
        <f t="shared" si="3"/>
        <v>-0.571635809191298</v>
      </c>
      <c r="O74">
        <v>1.38</v>
      </c>
      <c r="P74">
        <v>1519.721</v>
      </c>
      <c r="Q74" s="5">
        <f t="shared" si="4"/>
        <v>1519.46436419081</v>
      </c>
      <c r="U74" s="15">
        <v>244.6</v>
      </c>
      <c r="W74" s="15">
        <f t="shared" si="9"/>
        <v>355584.075749008</v>
      </c>
      <c r="X74" s="15">
        <f t="shared" si="10"/>
        <v>3055665.0304023</v>
      </c>
    </row>
    <row r="75" ht="14.25" customHeight="1" spans="1:24">
      <c r="A75" s="10" t="s">
        <v>96</v>
      </c>
      <c r="B75" s="11">
        <v>1.071</v>
      </c>
      <c r="C75" s="11">
        <v>1.036</v>
      </c>
      <c r="D75" s="5">
        <v>1</v>
      </c>
      <c r="E75" s="11">
        <v>261</v>
      </c>
      <c r="F75" s="11">
        <v>10</v>
      </c>
      <c r="G75" s="11">
        <v>59</v>
      </c>
      <c r="H75" s="5">
        <f t="shared" si="0"/>
        <v>261.183055555556</v>
      </c>
      <c r="I75" s="11">
        <v>103</v>
      </c>
      <c r="J75" s="11">
        <v>2</v>
      </c>
      <c r="K75" s="11">
        <v>4</v>
      </c>
      <c r="L75" s="5">
        <f t="shared" si="1"/>
        <v>103.034444444444</v>
      </c>
      <c r="M75" s="5">
        <f t="shared" si="2"/>
        <v>6.73884545912347</v>
      </c>
      <c r="N75" s="5">
        <f t="shared" si="3"/>
        <v>-1.56005276764204</v>
      </c>
      <c r="O75">
        <v>1.38</v>
      </c>
      <c r="P75">
        <v>1519.721</v>
      </c>
      <c r="Q75" s="5">
        <f t="shared" si="4"/>
        <v>1518.50494723236</v>
      </c>
      <c r="U75" s="15">
        <v>245.6</v>
      </c>
      <c r="W75" s="15">
        <f t="shared" si="9"/>
        <v>355589.097858766</v>
      </c>
      <c r="X75" s="15">
        <f t="shared" si="10"/>
        <v>3055672.46112289</v>
      </c>
    </row>
    <row r="76" ht="14.25" customHeight="1" spans="1:24">
      <c r="A76" s="10" t="s">
        <v>97</v>
      </c>
      <c r="B76" s="11">
        <v>1.077</v>
      </c>
      <c r="C76" s="11">
        <v>1.034</v>
      </c>
      <c r="D76" s="5">
        <v>1</v>
      </c>
      <c r="E76" s="11">
        <v>266</v>
      </c>
      <c r="F76" s="11">
        <v>17</v>
      </c>
      <c r="G76" s="11">
        <v>39</v>
      </c>
      <c r="H76" s="5">
        <f t="shared" si="0"/>
        <v>266.294166666667</v>
      </c>
      <c r="I76" s="11">
        <v>98</v>
      </c>
      <c r="J76" s="11">
        <v>39</v>
      </c>
      <c r="K76" s="11">
        <v>48</v>
      </c>
      <c r="L76" s="5">
        <f t="shared" si="1"/>
        <v>98.6633333333333</v>
      </c>
      <c r="M76" s="5">
        <f t="shared" si="2"/>
        <v>7.52529582246014</v>
      </c>
      <c r="N76" s="5">
        <f t="shared" si="3"/>
        <v>-1.14660394967355</v>
      </c>
      <c r="O76">
        <v>1.38</v>
      </c>
      <c r="P76">
        <v>1519.721</v>
      </c>
      <c r="Q76" s="5">
        <f t="shared" si="4"/>
        <v>1518.92039605033</v>
      </c>
      <c r="U76" s="15">
        <v>246.6</v>
      </c>
      <c r="W76" s="15">
        <f t="shared" si="9"/>
        <v>355582.56029669</v>
      </c>
      <c r="X76" s="15">
        <f t="shared" si="10"/>
        <v>3055674.59883356</v>
      </c>
    </row>
    <row r="77" ht="14.25" customHeight="1" spans="1:24">
      <c r="A77" s="10" t="s">
        <v>98</v>
      </c>
      <c r="B77" s="11">
        <v>1.08</v>
      </c>
      <c r="C77" s="11">
        <v>1.04</v>
      </c>
      <c r="D77" s="5">
        <v>1</v>
      </c>
      <c r="E77" s="11">
        <v>260</v>
      </c>
      <c r="F77" s="11">
        <v>16</v>
      </c>
      <c r="G77" s="11">
        <v>42</v>
      </c>
      <c r="H77" s="5">
        <f t="shared" si="0"/>
        <v>260.278333333333</v>
      </c>
      <c r="I77" s="11">
        <v>101</v>
      </c>
      <c r="J77" s="11">
        <v>44</v>
      </c>
      <c r="K77" s="11">
        <v>57</v>
      </c>
      <c r="L77" s="5">
        <f t="shared" si="1"/>
        <v>101.749166666667</v>
      </c>
      <c r="M77" s="5">
        <f t="shared" si="2"/>
        <v>7.66828669254949</v>
      </c>
      <c r="N77" s="5">
        <f t="shared" si="3"/>
        <v>-1.59488957024128</v>
      </c>
      <c r="O77">
        <v>1.38</v>
      </c>
      <c r="P77">
        <v>1519.721</v>
      </c>
      <c r="Q77" s="5">
        <f t="shared" si="4"/>
        <v>1518.46611042976</v>
      </c>
      <c r="U77" s="15">
        <v>247.6</v>
      </c>
      <c r="W77" s="15">
        <f t="shared" si="9"/>
        <v>355586.313699225</v>
      </c>
      <c r="X77" s="15">
        <f t="shared" si="10"/>
        <v>3055681.1726377</v>
      </c>
    </row>
    <row r="78" ht="14.25" customHeight="1" spans="1:24">
      <c r="A78" s="10" t="s">
        <v>99</v>
      </c>
      <c r="B78" s="11">
        <v>1.092</v>
      </c>
      <c r="C78" s="11">
        <v>1.046</v>
      </c>
      <c r="D78" s="5">
        <v>1</v>
      </c>
      <c r="E78" s="11">
        <v>263</v>
      </c>
      <c r="F78" s="11">
        <v>10</v>
      </c>
      <c r="G78" s="11">
        <v>14</v>
      </c>
      <c r="H78" s="5">
        <f t="shared" si="0"/>
        <v>263.170555555556</v>
      </c>
      <c r="I78" s="11">
        <v>98</v>
      </c>
      <c r="J78" s="11">
        <v>35</v>
      </c>
      <c r="K78" s="11">
        <v>7</v>
      </c>
      <c r="L78" s="5">
        <f t="shared" si="1"/>
        <v>98.5852777777778</v>
      </c>
      <c r="M78" s="5">
        <f t="shared" si="2"/>
        <v>8.99497892496772</v>
      </c>
      <c r="N78" s="5">
        <f t="shared" si="3"/>
        <v>-1.35799861895721</v>
      </c>
      <c r="O78">
        <v>1.38</v>
      </c>
      <c r="P78">
        <v>1519.721</v>
      </c>
      <c r="Q78" s="5">
        <f t="shared" si="4"/>
        <v>1518.69700138104</v>
      </c>
      <c r="U78" s="15">
        <v>248.6</v>
      </c>
      <c r="W78" s="15">
        <f t="shared" si="9"/>
        <v>355581.926523632</v>
      </c>
      <c r="X78" s="15">
        <f t="shared" si="10"/>
        <v>3055684.3321741</v>
      </c>
    </row>
    <row r="79" ht="14.25" customHeight="1" spans="1:24">
      <c r="A79" s="10" t="s">
        <v>100</v>
      </c>
      <c r="B79" s="11">
        <v>1.093</v>
      </c>
      <c r="C79" s="11">
        <v>1.048</v>
      </c>
      <c r="D79" s="5">
        <v>1</v>
      </c>
      <c r="E79" s="11">
        <v>256</v>
      </c>
      <c r="F79" s="11">
        <v>54</v>
      </c>
      <c r="G79" s="11">
        <v>38</v>
      </c>
      <c r="H79" s="5">
        <f t="shared" si="0"/>
        <v>256.910555555556</v>
      </c>
      <c r="I79" s="11">
        <v>101</v>
      </c>
      <c r="J79" s="11">
        <v>5</v>
      </c>
      <c r="K79" s="11">
        <v>0</v>
      </c>
      <c r="L79" s="5">
        <f t="shared" si="1"/>
        <v>101.083333333333</v>
      </c>
      <c r="M79" s="5">
        <f t="shared" si="2"/>
        <v>8.95631964841067</v>
      </c>
      <c r="N79" s="5">
        <f t="shared" si="3"/>
        <v>-1.75445464053995</v>
      </c>
      <c r="O79">
        <v>1.38</v>
      </c>
      <c r="P79">
        <v>1519.721</v>
      </c>
      <c r="Q79" s="5">
        <f t="shared" si="4"/>
        <v>1518.29854535946</v>
      </c>
      <c r="U79" s="15">
        <v>249.6</v>
      </c>
      <c r="W79" s="15">
        <f t="shared" si="9"/>
        <v>355586.155363316</v>
      </c>
      <c r="X79" s="15">
        <f t="shared" si="10"/>
        <v>3055690.80516181</v>
      </c>
    </row>
    <row r="80" ht="14.25" customHeight="1" spans="1:24">
      <c r="A80" s="10" t="s">
        <v>101</v>
      </c>
      <c r="B80" s="11">
        <v>1.108</v>
      </c>
      <c r="C80" s="11">
        <v>1.052</v>
      </c>
      <c r="D80" s="5">
        <v>1</v>
      </c>
      <c r="E80" s="11">
        <v>260</v>
      </c>
      <c r="F80" s="11">
        <v>40</v>
      </c>
      <c r="G80" s="11">
        <v>24</v>
      </c>
      <c r="H80" s="5">
        <f t="shared" si="0"/>
        <v>260.673333333333</v>
      </c>
      <c r="I80" s="11">
        <v>97</v>
      </c>
      <c r="J80" s="11">
        <v>39</v>
      </c>
      <c r="K80" s="11">
        <v>21</v>
      </c>
      <c r="L80" s="5">
        <f t="shared" si="1"/>
        <v>97.6558333333333</v>
      </c>
      <c r="M80" s="5">
        <f t="shared" si="2"/>
        <v>10.6083198081226</v>
      </c>
      <c r="N80" s="5">
        <f t="shared" si="3"/>
        <v>-1.42597502654084</v>
      </c>
      <c r="O80">
        <v>1.38</v>
      </c>
      <c r="P80">
        <v>1519.721</v>
      </c>
      <c r="Q80" s="5">
        <f t="shared" si="4"/>
        <v>1518.62302497346</v>
      </c>
      <c r="U80" s="15">
        <v>250.6</v>
      </c>
      <c r="W80" s="15">
        <f t="shared" si="9"/>
        <v>355581.080005628</v>
      </c>
      <c r="X80" s="15">
        <f t="shared" si="10"/>
        <v>3055693.77145069</v>
      </c>
    </row>
    <row r="81" ht="14.25" customHeight="1" spans="1:24">
      <c r="A81" s="10" t="s">
        <v>102</v>
      </c>
      <c r="B81" s="11">
        <v>1.112</v>
      </c>
      <c r="C81" s="11">
        <v>1.056</v>
      </c>
      <c r="D81" s="5">
        <v>1</v>
      </c>
      <c r="E81" s="11">
        <v>257</v>
      </c>
      <c r="F81" s="11">
        <v>22</v>
      </c>
      <c r="G81" s="11">
        <v>22</v>
      </c>
      <c r="H81" s="5">
        <f t="shared" si="0"/>
        <v>257.372777777778</v>
      </c>
      <c r="I81" s="11">
        <v>98</v>
      </c>
      <c r="J81" s="11">
        <v>55</v>
      </c>
      <c r="K81" s="11">
        <v>5</v>
      </c>
      <c r="L81" s="5">
        <f t="shared" si="1"/>
        <v>98.9180555555556</v>
      </c>
      <c r="M81" s="5">
        <f t="shared" si="2"/>
        <v>10.9308446061037</v>
      </c>
      <c r="N81" s="5">
        <f t="shared" si="3"/>
        <v>-1.71525385455768</v>
      </c>
      <c r="O81">
        <v>1.38</v>
      </c>
      <c r="P81">
        <v>1519.721</v>
      </c>
      <c r="Q81" s="5">
        <f t="shared" si="4"/>
        <v>1518.32974614544</v>
      </c>
      <c r="U81" s="15">
        <v>251.6</v>
      </c>
      <c r="W81" s="15">
        <f t="shared" si="9"/>
        <v>355582.73814507</v>
      </c>
      <c r="X81" s="15">
        <f t="shared" si="10"/>
        <v>3055699.1175307</v>
      </c>
    </row>
    <row r="82" ht="14.25" customHeight="1" spans="1:24">
      <c r="A82" s="10" t="s">
        <v>103</v>
      </c>
      <c r="B82" s="11">
        <v>1.131</v>
      </c>
      <c r="C82" s="11">
        <v>1.066</v>
      </c>
      <c r="D82" s="11">
        <v>1</v>
      </c>
      <c r="E82" s="11">
        <v>259</v>
      </c>
      <c r="F82" s="11">
        <v>2</v>
      </c>
      <c r="G82" s="11">
        <v>8</v>
      </c>
      <c r="H82" s="5">
        <f t="shared" si="0"/>
        <v>259.035555555556</v>
      </c>
      <c r="I82" s="11">
        <v>95</v>
      </c>
      <c r="J82" s="11">
        <v>58</v>
      </c>
      <c r="K82" s="11">
        <v>22</v>
      </c>
      <c r="L82" s="5">
        <f t="shared" si="1"/>
        <v>95.9727777777778</v>
      </c>
      <c r="M82" s="5">
        <f t="shared" si="2"/>
        <v>12.9581579423561</v>
      </c>
      <c r="N82" s="5">
        <f t="shared" si="3"/>
        <v>-1.35573293307292</v>
      </c>
      <c r="O82">
        <v>1.38</v>
      </c>
      <c r="P82">
        <v>1519.721</v>
      </c>
      <c r="Q82" s="5">
        <f t="shared" si="4"/>
        <v>1518.67926706693</v>
      </c>
      <c r="U82" s="15">
        <v>252.6</v>
      </c>
      <c r="W82" s="15">
        <f t="shared" si="9"/>
        <v>355579.770826325</v>
      </c>
      <c r="X82" s="15">
        <f t="shared" si="10"/>
        <v>3055702.89480239</v>
      </c>
    </row>
    <row r="83" ht="14.25" customHeight="1" spans="1:24">
      <c r="A83" s="10" t="s">
        <v>104</v>
      </c>
      <c r="B83" s="11">
        <v>1.13</v>
      </c>
      <c r="C83" s="11">
        <v>1.065</v>
      </c>
      <c r="D83" s="11">
        <v>1</v>
      </c>
      <c r="E83" s="11">
        <v>255</v>
      </c>
      <c r="F83" s="11">
        <v>8</v>
      </c>
      <c r="G83" s="11">
        <v>49</v>
      </c>
      <c r="H83" s="5">
        <f t="shared" si="0"/>
        <v>255.146944444444</v>
      </c>
      <c r="I83" s="11">
        <v>97</v>
      </c>
      <c r="J83" s="11">
        <v>46</v>
      </c>
      <c r="K83" s="11">
        <v>53</v>
      </c>
      <c r="L83" s="5">
        <f t="shared" si="1"/>
        <v>97.7813888888889</v>
      </c>
      <c r="M83" s="5">
        <f t="shared" si="2"/>
        <v>12.7616909380159</v>
      </c>
      <c r="N83" s="5">
        <f t="shared" si="3"/>
        <v>-1.74391129268929</v>
      </c>
      <c r="O83">
        <v>1.38</v>
      </c>
      <c r="P83">
        <v>1519.721</v>
      </c>
      <c r="Q83" s="5">
        <f t="shared" si="4"/>
        <v>1518.29208870731</v>
      </c>
      <c r="U83" s="15">
        <v>253.6</v>
      </c>
      <c r="W83" s="15">
        <f t="shared" si="9"/>
        <v>355582.186970592</v>
      </c>
      <c r="X83" s="15">
        <f t="shared" si="10"/>
        <v>3055708.31844014</v>
      </c>
    </row>
    <row r="84" ht="14.25" customHeight="1" spans="1:24">
      <c r="A84" s="10" t="s">
        <v>105</v>
      </c>
      <c r="B84" s="11">
        <v>1.128</v>
      </c>
      <c r="C84" s="11">
        <v>1.063</v>
      </c>
      <c r="D84" s="11">
        <v>1</v>
      </c>
      <c r="E84" s="11">
        <v>260</v>
      </c>
      <c r="F84" s="11">
        <v>20</v>
      </c>
      <c r="G84" s="11">
        <v>25</v>
      </c>
      <c r="H84" s="5">
        <f t="shared" si="0"/>
        <v>260.340277777778</v>
      </c>
      <c r="I84" s="11">
        <v>95</v>
      </c>
      <c r="J84" s="11">
        <v>28</v>
      </c>
      <c r="K84" s="11">
        <v>56</v>
      </c>
      <c r="L84" s="5">
        <f t="shared" si="1"/>
        <v>95.4822222222222</v>
      </c>
      <c r="M84" s="5">
        <f t="shared" si="2"/>
        <v>12.6831705801476</v>
      </c>
      <c r="N84" s="5">
        <f t="shared" si="3"/>
        <v>-1.21727871121083</v>
      </c>
      <c r="O84">
        <v>1.38</v>
      </c>
      <c r="P84">
        <v>1519.721</v>
      </c>
      <c r="Q84" s="5">
        <f t="shared" si="4"/>
        <v>1518.82072128879</v>
      </c>
      <c r="U84" s="15">
        <v>254.6</v>
      </c>
      <c r="W84" s="15">
        <f t="shared" si="9"/>
        <v>355575.960134617</v>
      </c>
      <c r="X84" s="15">
        <f t="shared" si="10"/>
        <v>3055711.22204675</v>
      </c>
    </row>
    <row r="85" ht="14.25" customHeight="1" spans="1:24">
      <c r="A85" s="10" t="s">
        <v>106</v>
      </c>
      <c r="B85" s="11">
        <v>1.126</v>
      </c>
      <c r="C85" s="11">
        <v>1.065</v>
      </c>
      <c r="D85" s="11">
        <v>1</v>
      </c>
      <c r="E85" s="11">
        <v>264</v>
      </c>
      <c r="F85" s="11">
        <v>14</v>
      </c>
      <c r="G85" s="11">
        <v>0</v>
      </c>
      <c r="H85" s="5">
        <f t="shared" si="0"/>
        <v>264.233333333333</v>
      </c>
      <c r="I85" s="11">
        <v>93</v>
      </c>
      <c r="J85" s="11">
        <v>15</v>
      </c>
      <c r="K85" s="11">
        <v>44</v>
      </c>
      <c r="L85" s="5">
        <f t="shared" si="1"/>
        <v>93.2622222222222</v>
      </c>
      <c r="M85" s="5">
        <f t="shared" si="2"/>
        <v>12.5591978527038</v>
      </c>
      <c r="N85" s="5">
        <f t="shared" si="3"/>
        <v>-0.715850711187319</v>
      </c>
      <c r="O85">
        <v>1.38</v>
      </c>
      <c r="P85">
        <v>1519.721</v>
      </c>
      <c r="Q85" s="5">
        <f t="shared" si="4"/>
        <v>1519.32014928881</v>
      </c>
      <c r="U85" s="15">
        <v>255.6</v>
      </c>
      <c r="W85" s="15">
        <f t="shared" si="9"/>
        <v>355571.021042686</v>
      </c>
      <c r="X85" s="15">
        <f t="shared" si="10"/>
        <v>3055714.6448423</v>
      </c>
    </row>
    <row r="86" ht="14.25" customHeight="1" spans="1:24">
      <c r="A86" s="10" t="s">
        <v>107</v>
      </c>
      <c r="B86" s="11">
        <v>1.113</v>
      </c>
      <c r="C86" s="11">
        <v>1.025</v>
      </c>
      <c r="D86" s="11">
        <v>1</v>
      </c>
      <c r="E86" s="11">
        <v>263</v>
      </c>
      <c r="F86" s="11">
        <v>20</v>
      </c>
      <c r="G86" s="11">
        <v>14</v>
      </c>
      <c r="H86" s="5">
        <f t="shared" si="0"/>
        <v>263.337222222222</v>
      </c>
      <c r="I86" s="11">
        <v>95</v>
      </c>
      <c r="J86" s="11">
        <v>38</v>
      </c>
      <c r="K86" s="11">
        <v>26</v>
      </c>
      <c r="L86" s="5">
        <f t="shared" si="1"/>
        <v>95.6405555555556</v>
      </c>
      <c r="M86" s="5">
        <f t="shared" si="2"/>
        <v>11.1908374996013</v>
      </c>
      <c r="N86" s="5">
        <f t="shared" si="3"/>
        <v>-1.10526910886538</v>
      </c>
      <c r="O86">
        <v>1.38</v>
      </c>
      <c r="P86">
        <v>1519.721</v>
      </c>
      <c r="Q86" s="5">
        <f t="shared" si="4"/>
        <v>1518.97073089113</v>
      </c>
      <c r="U86" s="15">
        <v>256.6</v>
      </c>
      <c r="W86" s="15">
        <f t="shared" si="9"/>
        <v>355570.784902352</v>
      </c>
      <c r="X86" s="15">
        <f t="shared" si="10"/>
        <v>3055719.32915099</v>
      </c>
    </row>
    <row r="87" ht="14.25" customHeight="1" spans="1:24">
      <c r="A87" s="10" t="s">
        <v>108</v>
      </c>
      <c r="B87" s="11">
        <v>1.115</v>
      </c>
      <c r="C87" s="11">
        <v>1.058</v>
      </c>
      <c r="D87" s="11">
        <v>1</v>
      </c>
      <c r="E87" s="11">
        <v>266</v>
      </c>
      <c r="F87" s="11">
        <v>40</v>
      </c>
      <c r="G87" s="11">
        <v>35</v>
      </c>
      <c r="H87" s="5">
        <f t="shared" si="0"/>
        <v>266.676388888889</v>
      </c>
      <c r="I87" s="11">
        <v>93</v>
      </c>
      <c r="J87" s="11">
        <v>53</v>
      </c>
      <c r="K87" s="11">
        <v>57</v>
      </c>
      <c r="L87" s="5">
        <f t="shared" si="1"/>
        <v>93.8991666666667</v>
      </c>
      <c r="M87" s="5">
        <f t="shared" si="2"/>
        <v>11.446822780185</v>
      </c>
      <c r="N87" s="5">
        <f t="shared" si="3"/>
        <v>-0.780198827969999</v>
      </c>
      <c r="O87">
        <v>1.38</v>
      </c>
      <c r="P87">
        <v>1519.721</v>
      </c>
      <c r="Q87" s="5">
        <f t="shared" si="4"/>
        <v>1519.26280117203</v>
      </c>
      <c r="U87" s="15">
        <v>257.6</v>
      </c>
      <c r="W87" s="15">
        <f t="shared" si="9"/>
        <v>355566.497563652</v>
      </c>
      <c r="X87" s="15">
        <f t="shared" si="10"/>
        <v>3055723.09215854</v>
      </c>
    </row>
    <row r="88" ht="14.25" customHeight="1" spans="1:24">
      <c r="A88" s="10" t="s">
        <v>109</v>
      </c>
      <c r="B88" s="11">
        <v>1.095</v>
      </c>
      <c r="C88" s="11">
        <v>1.046</v>
      </c>
      <c r="D88" s="11">
        <v>1</v>
      </c>
      <c r="E88" s="11">
        <v>265</v>
      </c>
      <c r="F88" s="11">
        <v>47</v>
      </c>
      <c r="G88" s="11">
        <v>41</v>
      </c>
      <c r="H88" s="5">
        <f t="shared" si="0"/>
        <v>265.794722222222</v>
      </c>
      <c r="I88" s="11">
        <v>96</v>
      </c>
      <c r="J88" s="11">
        <v>5</v>
      </c>
      <c r="K88" s="11">
        <v>47</v>
      </c>
      <c r="L88" s="5">
        <f t="shared" si="1"/>
        <v>96.0963888888889</v>
      </c>
      <c r="M88" s="5">
        <f t="shared" si="2"/>
        <v>9.39285199061781</v>
      </c>
      <c r="N88" s="5">
        <f t="shared" si="3"/>
        <v>-1.00320755241188</v>
      </c>
      <c r="O88">
        <v>1.38</v>
      </c>
      <c r="P88">
        <v>1519.721</v>
      </c>
      <c r="Q88" s="5">
        <f t="shared" si="4"/>
        <v>1519.05179244759</v>
      </c>
      <c r="U88" s="15">
        <v>258.6</v>
      </c>
      <c r="W88" s="15">
        <f t="shared" si="9"/>
        <v>355566.402095408</v>
      </c>
      <c r="X88" s="15">
        <f t="shared" si="10"/>
        <v>3055727.82072227</v>
      </c>
    </row>
    <row r="89" ht="14.25" customHeight="1" spans="1:24">
      <c r="A89" s="10" t="s">
        <v>110</v>
      </c>
      <c r="B89" s="11">
        <v>1.1</v>
      </c>
      <c r="C89" s="11">
        <v>1.055</v>
      </c>
      <c r="D89" s="11">
        <v>1</v>
      </c>
      <c r="E89" s="11">
        <v>270</v>
      </c>
      <c r="F89" s="11">
        <v>36</v>
      </c>
      <c r="G89" s="11">
        <v>2</v>
      </c>
      <c r="H89" s="5">
        <f t="shared" si="0"/>
        <v>270.600555555556</v>
      </c>
      <c r="I89" s="11">
        <v>93</v>
      </c>
      <c r="J89" s="11">
        <v>49</v>
      </c>
      <c r="K89" s="11">
        <v>1</v>
      </c>
      <c r="L89" s="5">
        <f t="shared" si="1"/>
        <v>93.8169444444444</v>
      </c>
      <c r="M89" s="5">
        <f t="shared" si="2"/>
        <v>9.95568570414837</v>
      </c>
      <c r="N89" s="5">
        <f t="shared" si="3"/>
        <v>-0.664213220057814</v>
      </c>
      <c r="O89">
        <v>1.38</v>
      </c>
      <c r="P89">
        <v>1519.721</v>
      </c>
      <c r="Q89" s="5">
        <f t="shared" si="4"/>
        <v>1519.38178677994</v>
      </c>
      <c r="U89" s="15">
        <v>259.6</v>
      </c>
      <c r="W89" s="15">
        <f t="shared" si="9"/>
        <v>355560.79801354</v>
      </c>
      <c r="X89" s="15">
        <f t="shared" si="10"/>
        <v>3055731.50841916</v>
      </c>
    </row>
    <row r="90" ht="14.25" customHeight="1" spans="1:24">
      <c r="A90" s="10" t="s">
        <v>111</v>
      </c>
      <c r="B90" s="11">
        <v>1.076</v>
      </c>
      <c r="C90" s="11">
        <v>1.038</v>
      </c>
      <c r="D90" s="11">
        <v>1</v>
      </c>
      <c r="E90" s="11">
        <v>271</v>
      </c>
      <c r="F90" s="12">
        <v>28</v>
      </c>
      <c r="G90" s="12">
        <v>59</v>
      </c>
      <c r="H90" s="5">
        <f t="shared" si="0"/>
        <v>271.483055555556</v>
      </c>
      <c r="I90" s="11">
        <v>95</v>
      </c>
      <c r="J90" s="11">
        <v>53</v>
      </c>
      <c r="K90" s="11">
        <v>24</v>
      </c>
      <c r="L90" s="5">
        <f t="shared" si="1"/>
        <v>95.89</v>
      </c>
      <c r="M90" s="5">
        <f t="shared" si="2"/>
        <v>7.51996710450737</v>
      </c>
      <c r="N90" s="5">
        <f t="shared" si="3"/>
        <v>-0.775786530808001</v>
      </c>
      <c r="O90">
        <v>1.38</v>
      </c>
      <c r="P90">
        <v>1519.721</v>
      </c>
      <c r="Q90" s="5">
        <f t="shared" si="4"/>
        <v>1519.28721346919</v>
      </c>
      <c r="U90" s="15">
        <v>260.6</v>
      </c>
      <c r="W90" s="15">
        <f t="shared" si="9"/>
        <v>355559.115375015</v>
      </c>
      <c r="X90" s="15">
        <f t="shared" si="10"/>
        <v>3055736.01676888</v>
      </c>
    </row>
    <row r="91" ht="14.25" customHeight="1" spans="1:24">
      <c r="A91" s="10" t="s">
        <v>112</v>
      </c>
      <c r="B91" s="11">
        <v>1.08</v>
      </c>
      <c r="C91" s="11">
        <v>1.04</v>
      </c>
      <c r="D91" s="11">
        <v>1</v>
      </c>
      <c r="E91" s="11">
        <v>277</v>
      </c>
      <c r="F91" s="11">
        <v>37</v>
      </c>
      <c r="G91" s="11">
        <v>29</v>
      </c>
      <c r="H91" s="5">
        <f t="shared" si="0"/>
        <v>277.624722222222</v>
      </c>
      <c r="I91" s="11">
        <v>94</v>
      </c>
      <c r="J91" s="11">
        <v>9</v>
      </c>
      <c r="K91" s="11">
        <v>26</v>
      </c>
      <c r="L91" s="5">
        <f t="shared" si="1"/>
        <v>94.1572222222222</v>
      </c>
      <c r="M91" s="5">
        <f t="shared" si="2"/>
        <v>7.95795745990557</v>
      </c>
      <c r="N91" s="5">
        <f t="shared" si="3"/>
        <v>-0.578422635775855</v>
      </c>
      <c r="O91">
        <v>1.38</v>
      </c>
      <c r="P91">
        <v>1519.721</v>
      </c>
      <c r="Q91" s="5">
        <f t="shared" si="4"/>
        <v>1519.48257736422</v>
      </c>
      <c r="U91" s="15">
        <v>261.6</v>
      </c>
      <c r="W91" s="15">
        <f t="shared" si="9"/>
        <v>355552.306543335</v>
      </c>
      <c r="X91" s="15">
        <f t="shared" si="10"/>
        <v>3055739.80073994</v>
      </c>
    </row>
    <row r="92" ht="14.25" customHeight="1" spans="1:24">
      <c r="A92" s="10" t="s">
        <v>113</v>
      </c>
      <c r="B92" s="11">
        <v>1.06</v>
      </c>
      <c r="C92" s="11">
        <v>1.03</v>
      </c>
      <c r="D92" s="11">
        <v>1</v>
      </c>
      <c r="E92" s="11">
        <v>276</v>
      </c>
      <c r="F92" s="11">
        <v>12</v>
      </c>
      <c r="G92" s="11">
        <v>55</v>
      </c>
      <c r="H92" s="5">
        <f t="shared" si="0"/>
        <v>276.215277777778</v>
      </c>
      <c r="I92" s="11">
        <v>96</v>
      </c>
      <c r="J92" s="11">
        <v>6</v>
      </c>
      <c r="K92" s="11">
        <v>22</v>
      </c>
      <c r="L92" s="5">
        <f t="shared" si="1"/>
        <v>96.1061111111111</v>
      </c>
      <c r="M92" s="5">
        <f t="shared" si="2"/>
        <v>5.9321123779827</v>
      </c>
      <c r="N92" s="5">
        <f t="shared" si="3"/>
        <v>-0.634599876205996</v>
      </c>
      <c r="O92">
        <v>1.38</v>
      </c>
      <c r="P92">
        <v>1519.721</v>
      </c>
      <c r="Q92" s="5">
        <f t="shared" si="4"/>
        <v>1519.43640012379</v>
      </c>
      <c r="U92" s="15">
        <v>262.6</v>
      </c>
      <c r="W92" s="15">
        <f t="shared" si="9"/>
        <v>355553.038274397</v>
      </c>
      <c r="X92" s="15">
        <f t="shared" si="10"/>
        <v>3055744.78168868</v>
      </c>
    </row>
    <row r="93" ht="14.25" customHeight="1" spans="1:24">
      <c r="A93" s="10" t="s">
        <v>114</v>
      </c>
      <c r="B93" s="11">
        <v>1.05</v>
      </c>
      <c r="C93" s="11">
        <v>1.025</v>
      </c>
      <c r="D93" s="11">
        <v>1</v>
      </c>
      <c r="E93" s="11">
        <v>283</v>
      </c>
      <c r="F93" s="11">
        <v>29</v>
      </c>
      <c r="G93" s="11">
        <v>17</v>
      </c>
      <c r="H93" s="5">
        <f t="shared" si="0"/>
        <v>283.488055555556</v>
      </c>
      <c r="I93" s="11">
        <v>97</v>
      </c>
      <c r="J93" s="11">
        <v>24</v>
      </c>
      <c r="K93" s="11">
        <v>6</v>
      </c>
      <c r="L93" s="5">
        <f t="shared" si="1"/>
        <v>97.4016666666667</v>
      </c>
      <c r="M93" s="5">
        <f t="shared" si="2"/>
        <v>4.91702131434127</v>
      </c>
      <c r="N93" s="5">
        <f t="shared" si="3"/>
        <v>-0.638755012520462</v>
      </c>
      <c r="O93">
        <v>1.38</v>
      </c>
      <c r="P93">
        <v>1519.721</v>
      </c>
      <c r="Q93" s="5">
        <f t="shared" si="4"/>
        <v>1519.43724498748</v>
      </c>
      <c r="U93" s="15">
        <v>263.6</v>
      </c>
      <c r="W93" s="15">
        <f t="shared" si="9"/>
        <v>355545.231664905</v>
      </c>
      <c r="X93" s="15">
        <f t="shared" si="10"/>
        <v>3055748.75688932</v>
      </c>
    </row>
    <row r="94" ht="14.25" customHeight="1" spans="1:24">
      <c r="A94" s="10" t="s">
        <v>115</v>
      </c>
      <c r="B94" s="11">
        <v>1.142</v>
      </c>
      <c r="C94" s="11">
        <v>1.071</v>
      </c>
      <c r="D94" s="11">
        <v>1</v>
      </c>
      <c r="E94" s="11">
        <v>274</v>
      </c>
      <c r="F94" s="11">
        <v>35</v>
      </c>
      <c r="G94" s="11">
        <v>49</v>
      </c>
      <c r="H94" s="5">
        <f t="shared" si="0"/>
        <v>274.596944444444</v>
      </c>
      <c r="I94" s="11">
        <v>93</v>
      </c>
      <c r="J94" s="11">
        <v>32</v>
      </c>
      <c r="K94" s="11">
        <v>20</v>
      </c>
      <c r="L94" s="5">
        <f t="shared" si="1"/>
        <v>93.5388888888889</v>
      </c>
      <c r="M94" s="5">
        <f t="shared" si="2"/>
        <v>14.1458965955944</v>
      </c>
      <c r="N94" s="5">
        <f t="shared" si="3"/>
        <v>-0.874837793074034</v>
      </c>
      <c r="O94">
        <v>1.38</v>
      </c>
      <c r="P94">
        <v>1519.721</v>
      </c>
      <c r="Q94" s="5">
        <f t="shared" si="4"/>
        <v>1519.15516220693</v>
      </c>
      <c r="U94" s="15">
        <v>264.6</v>
      </c>
      <c r="W94" s="15">
        <f t="shared" si="9"/>
        <v>355553.574726499</v>
      </c>
      <c r="X94" s="15">
        <f t="shared" si="10"/>
        <v>3055754.51514488</v>
      </c>
    </row>
    <row r="95" ht="14.25" customHeight="1" spans="1:24">
      <c r="A95" s="10" t="s">
        <v>116</v>
      </c>
      <c r="B95" s="11">
        <v>1.13</v>
      </c>
      <c r="C95" s="11">
        <v>1.065</v>
      </c>
      <c r="D95" s="11">
        <v>1</v>
      </c>
      <c r="E95" s="11">
        <v>208</v>
      </c>
      <c r="F95" s="11">
        <v>48</v>
      </c>
      <c r="G95" s="11">
        <v>12</v>
      </c>
      <c r="H95" s="5">
        <f t="shared" si="0"/>
        <v>208.803333333333</v>
      </c>
      <c r="I95" s="11">
        <v>93</v>
      </c>
      <c r="J95" s="11">
        <v>34</v>
      </c>
      <c r="K95" s="11">
        <v>23</v>
      </c>
      <c r="L95" s="5">
        <f t="shared" si="1"/>
        <v>93.5730555555556</v>
      </c>
      <c r="M95" s="5">
        <f t="shared" si="2"/>
        <v>12.9495089308985</v>
      </c>
      <c r="N95" s="5">
        <f t="shared" si="3"/>
        <v>-0.808600364989082</v>
      </c>
      <c r="O95">
        <v>1.38</v>
      </c>
      <c r="P95">
        <v>1519.721</v>
      </c>
      <c r="Q95" s="5">
        <f t="shared" si="4"/>
        <v>1519.22739963501</v>
      </c>
      <c r="U95" s="15">
        <v>265.6</v>
      </c>
      <c r="W95" s="15">
        <f t="shared" si="9"/>
        <v>355618.765061816</v>
      </c>
      <c r="X95" s="15">
        <f t="shared" si="10"/>
        <v>3055764.33781132</v>
      </c>
    </row>
    <row r="96" ht="14.25" customHeight="1" spans="1:24">
      <c r="A96" s="10" t="s">
        <v>117</v>
      </c>
      <c r="B96" s="11">
        <v>1.15</v>
      </c>
      <c r="C96" s="11">
        <v>1.075</v>
      </c>
      <c r="D96" s="11">
        <v>1</v>
      </c>
      <c r="E96" s="11">
        <v>279</v>
      </c>
      <c r="F96" s="11">
        <v>7</v>
      </c>
      <c r="G96" s="11">
        <v>34</v>
      </c>
      <c r="H96" s="5">
        <f t="shared" si="0"/>
        <v>279.126111111111</v>
      </c>
      <c r="I96" s="11">
        <v>93</v>
      </c>
      <c r="J96" s="11">
        <v>18</v>
      </c>
      <c r="K96" s="11">
        <v>3</v>
      </c>
      <c r="L96" s="5">
        <f t="shared" si="1"/>
        <v>93.3008333333333</v>
      </c>
      <c r="M96" s="5">
        <f t="shared" si="2"/>
        <v>14.9502706634545</v>
      </c>
      <c r="N96" s="5">
        <f t="shared" si="3"/>
        <v>-0.862245348650003</v>
      </c>
      <c r="O96">
        <v>1.38</v>
      </c>
      <c r="P96">
        <v>1519.721</v>
      </c>
      <c r="Q96" s="5">
        <f t="shared" si="4"/>
        <v>1519.16375465135</v>
      </c>
      <c r="U96" s="15">
        <v>266.6</v>
      </c>
      <c r="W96" s="15">
        <f t="shared" si="9"/>
        <v>355548.318198865</v>
      </c>
      <c r="X96" s="15">
        <f t="shared" si="10"/>
        <v>3055763.80304275</v>
      </c>
    </row>
    <row r="97" ht="14.25" customHeight="1" spans="1:24">
      <c r="A97" s="10" t="s">
        <v>118</v>
      </c>
      <c r="B97" s="11">
        <v>1.115</v>
      </c>
      <c r="C97" s="11">
        <v>1.053</v>
      </c>
      <c r="D97" s="11">
        <v>1</v>
      </c>
      <c r="E97" s="11">
        <v>274</v>
      </c>
      <c r="F97" s="11">
        <v>29</v>
      </c>
      <c r="G97" s="11">
        <v>54</v>
      </c>
      <c r="H97" s="5">
        <f t="shared" si="0"/>
        <v>274.498333333333</v>
      </c>
      <c r="I97" s="11">
        <v>93</v>
      </c>
      <c r="J97" s="11">
        <v>19</v>
      </c>
      <c r="K97" s="11">
        <v>50</v>
      </c>
      <c r="L97" s="5">
        <f t="shared" si="1"/>
        <v>93.3305555555555</v>
      </c>
      <c r="M97" s="5">
        <f t="shared" si="2"/>
        <v>11.4611852561167</v>
      </c>
      <c r="N97" s="5">
        <f t="shared" si="3"/>
        <v>-0.666980487206837</v>
      </c>
      <c r="O97">
        <v>1.38</v>
      </c>
      <c r="P97">
        <v>1519.721</v>
      </c>
      <c r="Q97" s="5">
        <f t="shared" si="4"/>
        <v>1519.38101951279</v>
      </c>
      <c r="U97" s="15">
        <v>267.6</v>
      </c>
      <c r="W97" s="15">
        <f t="shared" si="9"/>
        <v>355552.695448336</v>
      </c>
      <c r="X97" s="15">
        <f t="shared" si="10"/>
        <v>3055768.86220301</v>
      </c>
    </row>
    <row r="98" ht="14.25" customHeight="1" spans="1:24">
      <c r="A98" s="10" t="s">
        <v>119</v>
      </c>
      <c r="B98" s="11">
        <v>1.13</v>
      </c>
      <c r="C98" s="11">
        <v>1.065</v>
      </c>
      <c r="D98" s="11">
        <v>1</v>
      </c>
      <c r="E98" s="11">
        <v>281</v>
      </c>
      <c r="F98" s="11">
        <v>20</v>
      </c>
      <c r="G98" s="11">
        <v>28</v>
      </c>
      <c r="H98" s="5">
        <f t="shared" si="0"/>
        <v>281.341111111111</v>
      </c>
      <c r="I98" s="11">
        <v>93</v>
      </c>
      <c r="J98" s="11">
        <v>12</v>
      </c>
      <c r="K98" s="11">
        <v>18</v>
      </c>
      <c r="L98" s="5">
        <f t="shared" si="1"/>
        <v>93.205</v>
      </c>
      <c r="M98" s="5">
        <f t="shared" si="2"/>
        <v>12.9593649186686</v>
      </c>
      <c r="N98" s="5">
        <f t="shared" si="3"/>
        <v>-0.725675442242246</v>
      </c>
      <c r="O98">
        <v>1.38</v>
      </c>
      <c r="P98">
        <v>1519.721</v>
      </c>
      <c r="Q98" s="5">
        <f t="shared" si="4"/>
        <v>1519.31032455776</v>
      </c>
      <c r="U98" s="15">
        <v>268.6</v>
      </c>
      <c r="W98" s="15">
        <f t="shared" si="9"/>
        <v>355545.695872081</v>
      </c>
      <c r="X98" s="15">
        <f t="shared" si="10"/>
        <v>3055773.48322402</v>
      </c>
    </row>
    <row r="99" ht="14.25" customHeight="1" spans="1:24">
      <c r="A99" s="10" t="s">
        <v>120</v>
      </c>
      <c r="B99" s="11">
        <v>1.142</v>
      </c>
      <c r="C99" s="11">
        <v>1.071</v>
      </c>
      <c r="D99" s="11">
        <v>1</v>
      </c>
      <c r="E99" s="11">
        <v>286</v>
      </c>
      <c r="F99" s="11">
        <v>0</v>
      </c>
      <c r="G99" s="11">
        <v>37</v>
      </c>
      <c r="H99" s="5">
        <f t="shared" si="0"/>
        <v>286.010277777778</v>
      </c>
      <c r="I99" s="11">
        <v>92</v>
      </c>
      <c r="J99" s="11">
        <v>55</v>
      </c>
      <c r="K99" s="11">
        <v>2</v>
      </c>
      <c r="L99" s="5">
        <f t="shared" si="1"/>
        <v>92.9172222222222</v>
      </c>
      <c r="M99" s="5">
        <f t="shared" si="2"/>
        <v>14.163220417736</v>
      </c>
      <c r="N99" s="5">
        <f t="shared" si="3"/>
        <v>-0.721746029069244</v>
      </c>
      <c r="O99">
        <v>1.38</v>
      </c>
      <c r="P99">
        <v>1519.721</v>
      </c>
      <c r="Q99" s="5">
        <f t="shared" si="4"/>
        <v>1519.30825397093</v>
      </c>
      <c r="U99" s="15">
        <v>269.6</v>
      </c>
      <c r="W99" s="15">
        <f t="shared" si="9"/>
        <v>355540.94969209</v>
      </c>
      <c r="X99" s="15">
        <f t="shared" si="10"/>
        <v>3055778.36028798</v>
      </c>
    </row>
    <row r="100" ht="14.25" customHeight="1" spans="1:24">
      <c r="A100" s="10" t="s">
        <v>121</v>
      </c>
      <c r="B100" s="11">
        <v>1.101</v>
      </c>
      <c r="C100" s="11">
        <v>1.05</v>
      </c>
      <c r="D100" s="11">
        <v>1</v>
      </c>
      <c r="E100" s="11">
        <v>284</v>
      </c>
      <c r="F100" s="11">
        <v>33</v>
      </c>
      <c r="G100" s="11">
        <v>13</v>
      </c>
      <c r="H100" s="5">
        <f t="shared" si="0"/>
        <v>284.553611111111</v>
      </c>
      <c r="I100" s="11">
        <v>92</v>
      </c>
      <c r="J100" s="11">
        <v>46</v>
      </c>
      <c r="K100" s="11">
        <v>55</v>
      </c>
      <c r="L100" s="5">
        <f t="shared" si="1"/>
        <v>92.7819444444444</v>
      </c>
      <c r="M100" s="5">
        <f t="shared" si="2"/>
        <v>10.0762079587124</v>
      </c>
      <c r="N100" s="5">
        <f t="shared" si="3"/>
        <v>-0.489625934541993</v>
      </c>
      <c r="O100">
        <v>1.38</v>
      </c>
      <c r="P100">
        <v>1519.721</v>
      </c>
      <c r="Q100" s="5">
        <f t="shared" si="4"/>
        <v>1519.56137406546</v>
      </c>
      <c r="U100" s="15">
        <v>270.6</v>
      </c>
      <c r="W100" s="15">
        <f t="shared" ref="W100:W123" si="11">$S$3+(H100*SIN(U100*3.141592654/180))</f>
        <v>355542.414991146</v>
      </c>
      <c r="X100" s="15">
        <f t="shared" ref="X100:X123" si="12">$T$3+(H100*COS(U100*3.141592654/180))</f>
        <v>3055783.33678416</v>
      </c>
    </row>
    <row r="101" ht="14.25" customHeight="1" spans="1:24">
      <c r="A101" s="10" t="s">
        <v>122</v>
      </c>
      <c r="B101" s="11">
        <v>1.117</v>
      </c>
      <c r="C101" s="11">
        <v>1.058</v>
      </c>
      <c r="D101" s="11">
        <v>1</v>
      </c>
      <c r="E101" s="11">
        <v>291</v>
      </c>
      <c r="F101" s="11">
        <v>1</v>
      </c>
      <c r="G101" s="11">
        <v>41</v>
      </c>
      <c r="H101" s="5">
        <f t="shared" si="0"/>
        <v>291.028055555556</v>
      </c>
      <c r="I101" s="11">
        <v>92</v>
      </c>
      <c r="J101" s="11">
        <v>39</v>
      </c>
      <c r="K101" s="11">
        <v>32</v>
      </c>
      <c r="L101" s="5">
        <f t="shared" si="1"/>
        <v>92.6588888888889</v>
      </c>
      <c r="M101" s="5">
        <f t="shared" si="2"/>
        <v>11.6748215382127</v>
      </c>
      <c r="N101" s="5">
        <f t="shared" si="3"/>
        <v>-0.542175292662036</v>
      </c>
      <c r="O101">
        <v>1.38</v>
      </c>
      <c r="P101">
        <v>1519.721</v>
      </c>
      <c r="Q101" s="5">
        <f t="shared" si="4"/>
        <v>1519.50082470734</v>
      </c>
      <c r="U101" s="15">
        <v>271.6</v>
      </c>
      <c r="W101" s="15">
        <f t="shared" si="11"/>
        <v>355536.038411911</v>
      </c>
      <c r="X101" s="15">
        <f t="shared" si="12"/>
        <v>3055788.48298041</v>
      </c>
    </row>
    <row r="102" ht="14.25" customHeight="1" spans="1:24">
      <c r="A102" s="10" t="s">
        <v>123</v>
      </c>
      <c r="B102" s="11">
        <v>1.129</v>
      </c>
      <c r="C102" s="11">
        <v>1.064</v>
      </c>
      <c r="D102" s="11">
        <v>1</v>
      </c>
      <c r="E102" s="11">
        <v>294</v>
      </c>
      <c r="F102" s="11">
        <v>4</v>
      </c>
      <c r="G102" s="11">
        <v>47</v>
      </c>
      <c r="H102" s="5">
        <f t="shared" si="0"/>
        <v>294.079722222222</v>
      </c>
      <c r="I102" s="11">
        <v>92</v>
      </c>
      <c r="J102" s="11">
        <v>21</v>
      </c>
      <c r="K102" s="11">
        <v>18</v>
      </c>
      <c r="L102" s="5">
        <f t="shared" si="1"/>
        <v>92.355</v>
      </c>
      <c r="M102" s="5">
        <f t="shared" si="2"/>
        <v>12.878218805827</v>
      </c>
      <c r="N102" s="5">
        <f t="shared" si="3"/>
        <v>-0.529625324556724</v>
      </c>
      <c r="O102">
        <v>1.38</v>
      </c>
      <c r="P102">
        <v>1519.721</v>
      </c>
      <c r="Q102" s="5">
        <f t="shared" si="4"/>
        <v>1519.50737467544</v>
      </c>
      <c r="U102" s="15">
        <v>272.6</v>
      </c>
      <c r="W102" s="15">
        <f t="shared" si="11"/>
        <v>355533.176012336</v>
      </c>
      <c r="X102" s="15">
        <f t="shared" si="12"/>
        <v>3055793.69733513</v>
      </c>
    </row>
    <row r="103" ht="14.25" customHeight="1" spans="1:24">
      <c r="A103" s="10" t="s">
        <v>124</v>
      </c>
      <c r="B103" s="11">
        <v>1.145</v>
      </c>
      <c r="C103" s="11">
        <v>1.072</v>
      </c>
      <c r="D103" s="11">
        <v>1</v>
      </c>
      <c r="E103" s="11">
        <v>297</v>
      </c>
      <c r="F103" s="11">
        <v>19</v>
      </c>
      <c r="G103" s="11">
        <v>34</v>
      </c>
      <c r="H103" s="5">
        <f t="shared" si="0"/>
        <v>297.326111111111</v>
      </c>
      <c r="I103" s="11">
        <v>92</v>
      </c>
      <c r="J103" s="11">
        <v>18</v>
      </c>
      <c r="K103" s="11">
        <v>46</v>
      </c>
      <c r="L103" s="5">
        <f t="shared" si="1"/>
        <v>92.3127777777778</v>
      </c>
      <c r="M103" s="5">
        <f t="shared" si="2"/>
        <v>14.4763868101331</v>
      </c>
      <c r="N103" s="5">
        <f t="shared" si="3"/>
        <v>-0.584665434529762</v>
      </c>
      <c r="O103">
        <v>1.38</v>
      </c>
      <c r="P103">
        <v>1519.721</v>
      </c>
      <c r="Q103" s="5">
        <f t="shared" si="4"/>
        <v>1519.44433456547</v>
      </c>
      <c r="U103" s="15">
        <v>273.6</v>
      </c>
      <c r="W103" s="15">
        <f t="shared" si="11"/>
        <v>355530.213594063</v>
      </c>
      <c r="X103" s="15">
        <f t="shared" si="12"/>
        <v>3055799.02626117</v>
      </c>
    </row>
    <row r="104" ht="14.25" customHeight="1" spans="1:24">
      <c r="A104" s="10" t="s">
        <v>125</v>
      </c>
      <c r="B104" s="11">
        <v>1.152</v>
      </c>
      <c r="C104" s="11">
        <v>1.076</v>
      </c>
      <c r="D104" s="11">
        <v>1</v>
      </c>
      <c r="E104" s="11">
        <v>289</v>
      </c>
      <c r="F104" s="11">
        <v>2</v>
      </c>
      <c r="G104" s="11">
        <v>39</v>
      </c>
      <c r="H104" s="5">
        <f t="shared" si="0"/>
        <v>289.044166666667</v>
      </c>
      <c r="I104" s="11">
        <v>92</v>
      </c>
      <c r="J104" s="11">
        <v>47</v>
      </c>
      <c r="K104" s="11">
        <v>2</v>
      </c>
      <c r="L104" s="5">
        <f t="shared" si="1"/>
        <v>92.7838888888889</v>
      </c>
      <c r="M104" s="5">
        <f t="shared" si="2"/>
        <v>15.1641441244996</v>
      </c>
      <c r="N104" s="5">
        <f t="shared" si="3"/>
        <v>-0.737376202354193</v>
      </c>
      <c r="O104">
        <v>1.38</v>
      </c>
      <c r="P104">
        <v>1519.721</v>
      </c>
      <c r="Q104" s="5">
        <f t="shared" si="4"/>
        <v>1519.28762379765</v>
      </c>
      <c r="U104" s="15">
        <v>274.6</v>
      </c>
      <c r="W104" s="15">
        <f t="shared" si="11"/>
        <v>355538.83987974</v>
      </c>
      <c r="X104" s="15">
        <f t="shared" si="12"/>
        <v>3055803.53803143</v>
      </c>
    </row>
    <row r="105" ht="14.25" customHeight="1" spans="1:24">
      <c r="A105" s="10" t="s">
        <v>126</v>
      </c>
      <c r="B105" s="11">
        <v>1.14</v>
      </c>
      <c r="C105" s="11">
        <v>1.07</v>
      </c>
      <c r="D105" s="11">
        <v>1</v>
      </c>
      <c r="E105" s="11">
        <v>284</v>
      </c>
      <c r="F105" s="11">
        <v>17</v>
      </c>
      <c r="G105" s="11">
        <v>5</v>
      </c>
      <c r="H105" s="5">
        <f t="shared" si="0"/>
        <v>284.284722222222</v>
      </c>
      <c r="I105" s="11">
        <v>92</v>
      </c>
      <c r="J105" s="11">
        <v>58</v>
      </c>
      <c r="K105" s="11">
        <v>43</v>
      </c>
      <c r="L105" s="5">
        <f t="shared" si="1"/>
        <v>92.9786111111111</v>
      </c>
      <c r="M105" s="5">
        <f t="shared" si="2"/>
        <v>13.9621976234236</v>
      </c>
      <c r="N105" s="5">
        <f t="shared" si="3"/>
        <v>-0.72650137810974</v>
      </c>
      <c r="O105">
        <v>1.38</v>
      </c>
      <c r="P105">
        <v>1519.721</v>
      </c>
      <c r="Q105" s="5">
        <f t="shared" si="4"/>
        <v>1519.30449862189</v>
      </c>
      <c r="U105" s="15">
        <v>275.6</v>
      </c>
      <c r="W105" s="15">
        <f t="shared" si="11"/>
        <v>355544.025055066</v>
      </c>
      <c r="X105" s="15">
        <f t="shared" si="12"/>
        <v>3055808.09832773</v>
      </c>
    </row>
    <row r="106" ht="14.25" customHeight="1" spans="1:24">
      <c r="A106" s="10" t="s">
        <v>127</v>
      </c>
      <c r="B106" s="11">
        <v>1.167</v>
      </c>
      <c r="C106" s="11">
        <v>1.082</v>
      </c>
      <c r="D106" s="11">
        <v>1</v>
      </c>
      <c r="E106" s="11">
        <v>280</v>
      </c>
      <c r="F106" s="11">
        <v>31</v>
      </c>
      <c r="G106" s="11">
        <v>9</v>
      </c>
      <c r="H106" s="5">
        <f t="shared" si="0"/>
        <v>280.519166666667</v>
      </c>
      <c r="I106" s="11">
        <v>93</v>
      </c>
      <c r="J106" s="11">
        <v>19</v>
      </c>
      <c r="K106" s="11">
        <v>33</v>
      </c>
      <c r="L106" s="5">
        <f t="shared" si="1"/>
        <v>93.3258333333333</v>
      </c>
      <c r="M106" s="5">
        <f t="shared" si="2"/>
        <v>16.6437937849268</v>
      </c>
      <c r="N106" s="5">
        <f t="shared" si="3"/>
        <v>-0.967204555980626</v>
      </c>
      <c r="O106">
        <v>1.38</v>
      </c>
      <c r="P106">
        <v>1519.721</v>
      </c>
      <c r="Q106" s="5">
        <f t="shared" si="4"/>
        <v>1519.05179544402</v>
      </c>
      <c r="U106" s="15">
        <v>276.6</v>
      </c>
      <c r="W106" s="15">
        <f t="shared" si="11"/>
        <v>355548.292899625</v>
      </c>
      <c r="X106" s="15">
        <f t="shared" si="12"/>
        <v>3055812.59907385</v>
      </c>
    </row>
    <row r="107" ht="14.25" customHeight="1" spans="1:24">
      <c r="A107" s="10" t="s">
        <v>128</v>
      </c>
      <c r="B107" s="11">
        <v>1.111</v>
      </c>
      <c r="C107" s="11">
        <v>1.055</v>
      </c>
      <c r="D107" s="11">
        <v>1</v>
      </c>
      <c r="E107" s="11">
        <v>300</v>
      </c>
      <c r="F107" s="11">
        <v>45</v>
      </c>
      <c r="G107" s="11">
        <v>38</v>
      </c>
      <c r="H107" s="5">
        <f t="shared" si="0"/>
        <v>300.760555555556</v>
      </c>
      <c r="I107" s="11">
        <v>92</v>
      </c>
      <c r="J107" s="11">
        <v>13</v>
      </c>
      <c r="K107" s="11">
        <v>33</v>
      </c>
      <c r="L107" s="5">
        <f t="shared" si="1"/>
        <v>92.2258333333333</v>
      </c>
      <c r="M107" s="5">
        <f t="shared" si="2"/>
        <v>11.0832565668984</v>
      </c>
      <c r="N107" s="5">
        <f t="shared" si="3"/>
        <v>-0.430780413755732</v>
      </c>
      <c r="O107">
        <v>1.38</v>
      </c>
      <c r="P107">
        <v>1519.721</v>
      </c>
      <c r="Q107" s="5">
        <f t="shared" si="4"/>
        <v>1519.61521958624</v>
      </c>
      <c r="U107" s="15">
        <v>277.6</v>
      </c>
      <c r="W107" s="15">
        <f t="shared" si="11"/>
        <v>355528.834463464</v>
      </c>
      <c r="X107" s="15">
        <f t="shared" si="12"/>
        <v>3055820.1345056</v>
      </c>
    </row>
    <row r="108" ht="14.25" customHeight="1" spans="1:24">
      <c r="A108" s="10" t="s">
        <v>129</v>
      </c>
      <c r="B108" s="11">
        <v>1.126</v>
      </c>
      <c r="C108" s="11">
        <v>1.063</v>
      </c>
      <c r="D108" s="11">
        <v>1</v>
      </c>
      <c r="E108" s="11">
        <v>301</v>
      </c>
      <c r="F108" s="11">
        <v>59</v>
      </c>
      <c r="G108" s="11">
        <v>38</v>
      </c>
      <c r="H108" s="5">
        <f t="shared" si="0"/>
        <v>301.993888888889</v>
      </c>
      <c r="I108" s="11">
        <v>92</v>
      </c>
      <c r="J108" s="11">
        <v>3</v>
      </c>
      <c r="K108" s="11">
        <v>25</v>
      </c>
      <c r="L108" s="5">
        <f t="shared" si="1"/>
        <v>92.0569444444444</v>
      </c>
      <c r="M108" s="5">
        <f t="shared" si="2"/>
        <v>12.5837675595839</v>
      </c>
      <c r="N108" s="5">
        <f t="shared" si="3"/>
        <v>-0.451957140800645</v>
      </c>
      <c r="O108">
        <v>1.38</v>
      </c>
      <c r="P108">
        <v>1519.721</v>
      </c>
      <c r="Q108" s="5">
        <f t="shared" si="4"/>
        <v>1519.5860428592</v>
      </c>
      <c r="U108" s="15">
        <v>278.6</v>
      </c>
      <c r="W108" s="15">
        <f t="shared" si="11"/>
        <v>355528.354615353</v>
      </c>
      <c r="X108" s="15">
        <f t="shared" si="12"/>
        <v>3055825.51576008</v>
      </c>
    </row>
    <row r="109" ht="14.25" customHeight="1" spans="1:24">
      <c r="A109" s="10" t="s">
        <v>130</v>
      </c>
      <c r="B109" s="11">
        <v>1.142</v>
      </c>
      <c r="C109" s="11">
        <v>1.071</v>
      </c>
      <c r="D109" s="11">
        <v>1</v>
      </c>
      <c r="E109" s="11">
        <v>302</v>
      </c>
      <c r="F109" s="11">
        <v>56</v>
      </c>
      <c r="G109" s="11">
        <v>56</v>
      </c>
      <c r="H109" s="5">
        <f t="shared" si="0"/>
        <v>302.948888888889</v>
      </c>
      <c r="I109" s="11">
        <v>92</v>
      </c>
      <c r="J109" s="11">
        <v>3</v>
      </c>
      <c r="K109" s="11">
        <v>42</v>
      </c>
      <c r="L109" s="5">
        <f t="shared" si="1"/>
        <v>92.0616666666667</v>
      </c>
      <c r="M109" s="5">
        <f t="shared" si="2"/>
        <v>14.1816222417951</v>
      </c>
      <c r="N109" s="5">
        <f t="shared" si="3"/>
        <v>-0.51051584158789</v>
      </c>
      <c r="O109">
        <v>1.38</v>
      </c>
      <c r="P109">
        <v>1519.721</v>
      </c>
      <c r="Q109" s="5">
        <f t="shared" si="4"/>
        <v>1519.51948415841</v>
      </c>
      <c r="U109" s="15">
        <v>279.6</v>
      </c>
      <c r="W109" s="15">
        <f t="shared" si="11"/>
        <v>355528.246596153</v>
      </c>
      <c r="X109" s="15">
        <f t="shared" si="12"/>
        <v>3055830.87940671</v>
      </c>
    </row>
    <row r="110" ht="14.25" customHeight="1" spans="1:24">
      <c r="A110" s="10" t="s">
        <v>131</v>
      </c>
      <c r="B110" s="11">
        <v>1.115</v>
      </c>
      <c r="C110" s="11">
        <v>1.058</v>
      </c>
      <c r="D110" s="11">
        <v>1</v>
      </c>
      <c r="E110" s="11">
        <v>321</v>
      </c>
      <c r="F110" s="11">
        <v>13</v>
      </c>
      <c r="G110" s="11">
        <v>14</v>
      </c>
      <c r="H110" s="5">
        <f t="shared" si="0"/>
        <v>321.220555555556</v>
      </c>
      <c r="I110" s="11">
        <v>91</v>
      </c>
      <c r="J110" s="11">
        <v>21</v>
      </c>
      <c r="K110" s="11">
        <v>47</v>
      </c>
      <c r="L110" s="5">
        <f t="shared" si="1"/>
        <v>91.3630555555555</v>
      </c>
      <c r="M110" s="5">
        <f t="shared" si="2"/>
        <v>11.4934927460148</v>
      </c>
      <c r="N110" s="5">
        <f t="shared" si="3"/>
        <v>-0.273479572317649</v>
      </c>
      <c r="O110">
        <v>1.38</v>
      </c>
      <c r="P110">
        <v>1519.721</v>
      </c>
      <c r="Q110" s="5">
        <f t="shared" si="4"/>
        <v>1519.76952042768</v>
      </c>
      <c r="U110" s="15">
        <v>280.6</v>
      </c>
      <c r="W110" s="15">
        <f t="shared" si="11"/>
        <v>355511.213961109</v>
      </c>
      <c r="X110" s="15">
        <f t="shared" si="12"/>
        <v>3055839.44595524</v>
      </c>
    </row>
    <row r="111" ht="14.25" customHeight="1" spans="1:24">
      <c r="A111" s="10" t="s">
        <v>132</v>
      </c>
      <c r="B111" s="11">
        <v>1.132</v>
      </c>
      <c r="C111" s="11">
        <v>1.066</v>
      </c>
      <c r="D111" s="11">
        <v>1</v>
      </c>
      <c r="E111" s="11">
        <v>320</v>
      </c>
      <c r="F111" s="11">
        <v>16</v>
      </c>
      <c r="G111" s="11">
        <v>37</v>
      </c>
      <c r="H111" s="5">
        <f t="shared" si="0"/>
        <v>320.276944444444</v>
      </c>
      <c r="I111" s="11">
        <v>91</v>
      </c>
      <c r="J111" s="12">
        <v>5</v>
      </c>
      <c r="K111" s="12">
        <v>55</v>
      </c>
      <c r="L111" s="5">
        <f t="shared" si="1"/>
        <v>91.0986111111111</v>
      </c>
      <c r="M111" s="5">
        <f t="shared" si="2"/>
        <v>13.1951475237765</v>
      </c>
      <c r="N111" s="5">
        <f t="shared" si="3"/>
        <v>-0.253039798500288</v>
      </c>
      <c r="O111">
        <v>1.38</v>
      </c>
      <c r="P111">
        <v>1519.721</v>
      </c>
      <c r="Q111" s="5">
        <f t="shared" si="4"/>
        <v>1519.7819602015</v>
      </c>
      <c r="U111" s="15">
        <v>281.6</v>
      </c>
      <c r="W111" s="15">
        <f t="shared" si="11"/>
        <v>355513.217632246</v>
      </c>
      <c r="X111" s="15">
        <f t="shared" si="12"/>
        <v>3055844.75762238</v>
      </c>
    </row>
    <row r="112" ht="14.25" customHeight="1" spans="1:24">
      <c r="A112" s="10" t="s">
        <v>133</v>
      </c>
      <c r="B112" s="11">
        <v>1.147</v>
      </c>
      <c r="C112" s="11">
        <v>1.074</v>
      </c>
      <c r="D112" s="11">
        <v>1</v>
      </c>
      <c r="E112" s="11">
        <v>319</v>
      </c>
      <c r="F112" s="11">
        <v>3</v>
      </c>
      <c r="G112" s="11">
        <v>7</v>
      </c>
      <c r="H112" s="5">
        <f t="shared" si="0"/>
        <v>319.051944444444</v>
      </c>
      <c r="I112" s="11">
        <v>91</v>
      </c>
      <c r="J112" s="11">
        <v>5</v>
      </c>
      <c r="K112" s="11">
        <v>53</v>
      </c>
      <c r="L112" s="5">
        <f t="shared" si="1"/>
        <v>91.0980555555555</v>
      </c>
      <c r="M112" s="5">
        <f t="shared" si="2"/>
        <v>14.6946015693524</v>
      </c>
      <c r="N112" s="5">
        <f t="shared" si="3"/>
        <v>-0.281651890577183</v>
      </c>
      <c r="O112">
        <v>1.38</v>
      </c>
      <c r="P112">
        <v>1519.721</v>
      </c>
      <c r="Q112" s="5">
        <f t="shared" si="4"/>
        <v>1519.74534810942</v>
      </c>
      <c r="U112" s="15">
        <v>282.6</v>
      </c>
      <c r="W112" s="15">
        <f t="shared" si="11"/>
        <v>355515.584859532</v>
      </c>
      <c r="X112" s="15">
        <f t="shared" si="12"/>
        <v>3055849.95602554</v>
      </c>
    </row>
    <row r="113" ht="14.25" customHeight="1" spans="1:24">
      <c r="A113" s="10" t="s">
        <v>134</v>
      </c>
      <c r="B113" s="11">
        <v>1.138</v>
      </c>
      <c r="C113" s="11">
        <v>1.069</v>
      </c>
      <c r="D113" s="11">
        <v>1</v>
      </c>
      <c r="E113" s="11">
        <v>339</v>
      </c>
      <c r="F113" s="11">
        <v>43</v>
      </c>
      <c r="G113" s="11">
        <v>18</v>
      </c>
      <c r="H113" s="5">
        <f t="shared" si="0"/>
        <v>339.721666666667</v>
      </c>
      <c r="I113" s="11">
        <v>90</v>
      </c>
      <c r="J113" s="12">
        <v>26</v>
      </c>
      <c r="K113" s="12">
        <v>57</v>
      </c>
      <c r="L113" s="5">
        <f t="shared" si="1"/>
        <v>90.4491666666667</v>
      </c>
      <c r="M113" s="5">
        <f t="shared" si="2"/>
        <v>13.7991519138652</v>
      </c>
      <c r="N113" s="5">
        <f t="shared" si="3"/>
        <v>-0.108179801303206</v>
      </c>
      <c r="O113">
        <v>1.38</v>
      </c>
      <c r="P113">
        <v>1519.721</v>
      </c>
      <c r="Q113" s="5">
        <f t="shared" si="4"/>
        <v>1519.9238201987</v>
      </c>
      <c r="U113" s="15">
        <v>283.6</v>
      </c>
      <c r="W113" s="15">
        <f t="shared" si="11"/>
        <v>355496.756789</v>
      </c>
      <c r="X113" s="15">
        <f t="shared" si="12"/>
        <v>3055860.23987078</v>
      </c>
    </row>
    <row r="114" ht="14.25" customHeight="1" spans="1:24">
      <c r="A114" s="10" t="s">
        <v>135</v>
      </c>
      <c r="B114" s="11">
        <v>1.154</v>
      </c>
      <c r="C114" s="11">
        <v>1.078</v>
      </c>
      <c r="D114" s="11">
        <v>1</v>
      </c>
      <c r="E114" s="11">
        <v>336</v>
      </c>
      <c r="F114" s="11">
        <v>46</v>
      </c>
      <c r="G114" s="11">
        <v>58</v>
      </c>
      <c r="H114" s="5">
        <f t="shared" si="0"/>
        <v>336.782777777778</v>
      </c>
      <c r="I114" s="11">
        <v>90</v>
      </c>
      <c r="J114" s="11">
        <v>18</v>
      </c>
      <c r="K114" s="11">
        <v>55</v>
      </c>
      <c r="L114" s="5">
        <f t="shared" si="1"/>
        <v>90.3152777777778</v>
      </c>
      <c r="M114" s="5">
        <f t="shared" si="2"/>
        <v>15.3995337081828</v>
      </c>
      <c r="N114" s="5">
        <f t="shared" si="3"/>
        <v>-0.0847388727583614</v>
      </c>
      <c r="O114">
        <v>1.38</v>
      </c>
      <c r="P114">
        <v>1519.721</v>
      </c>
      <c r="Q114" s="5">
        <f t="shared" si="4"/>
        <v>1519.93826112724</v>
      </c>
      <c r="U114" s="15">
        <v>284.6</v>
      </c>
      <c r="W114" s="15">
        <f t="shared" si="11"/>
        <v>355501.045217539</v>
      </c>
      <c r="X114" s="15">
        <f t="shared" si="12"/>
        <v>3055865.24961887</v>
      </c>
    </row>
    <row r="115" ht="14.25" customHeight="1" spans="1:24">
      <c r="A115" s="10" t="s">
        <v>136</v>
      </c>
      <c r="B115" s="11">
        <v>1.165</v>
      </c>
      <c r="C115" s="11">
        <v>1.081</v>
      </c>
      <c r="D115" s="11">
        <v>1</v>
      </c>
      <c r="E115" s="11">
        <v>333</v>
      </c>
      <c r="F115" s="11">
        <v>41</v>
      </c>
      <c r="G115" s="11">
        <v>52</v>
      </c>
      <c r="H115" s="5">
        <f t="shared" si="0"/>
        <v>333.697777777778</v>
      </c>
      <c r="I115" s="11">
        <v>90</v>
      </c>
      <c r="J115" s="12">
        <v>25</v>
      </c>
      <c r="K115" s="12">
        <v>20</v>
      </c>
      <c r="L115" s="5">
        <f t="shared" si="1"/>
        <v>90.4222222222222</v>
      </c>
      <c r="M115" s="5">
        <f t="shared" si="2"/>
        <v>16.4991039897201</v>
      </c>
      <c r="N115" s="5">
        <f t="shared" si="3"/>
        <v>-0.121586869290241</v>
      </c>
      <c r="O115">
        <v>1.38</v>
      </c>
      <c r="P115">
        <v>1519.721</v>
      </c>
      <c r="Q115" s="5">
        <f t="shared" si="4"/>
        <v>1519.89841313071</v>
      </c>
      <c r="U115" s="15">
        <v>285.6</v>
      </c>
      <c r="W115" s="15">
        <f t="shared" si="11"/>
        <v>355505.547791879</v>
      </c>
      <c r="X115" s="15">
        <f t="shared" si="12"/>
        <v>3055870.09494675</v>
      </c>
    </row>
    <row r="116" ht="14.25" customHeight="1" spans="1:24">
      <c r="A116" s="10" t="s">
        <v>137</v>
      </c>
      <c r="B116" s="11">
        <v>1.168</v>
      </c>
      <c r="C116" s="11">
        <v>1.083</v>
      </c>
      <c r="D116" s="11">
        <v>1</v>
      </c>
      <c r="E116" s="11">
        <v>351</v>
      </c>
      <c r="F116" s="11">
        <v>33</v>
      </c>
      <c r="G116" s="11">
        <v>34</v>
      </c>
      <c r="H116" s="5">
        <f t="shared" si="0"/>
        <v>351.559444444444</v>
      </c>
      <c r="I116" s="11">
        <v>90</v>
      </c>
      <c r="J116" s="11">
        <v>55</v>
      </c>
      <c r="K116" s="11">
        <v>56</v>
      </c>
      <c r="L116" s="5">
        <f t="shared" si="1"/>
        <v>90.9322222222222</v>
      </c>
      <c r="M116" s="5">
        <f t="shared" si="2"/>
        <v>16.7955530259353</v>
      </c>
      <c r="N116" s="5">
        <f t="shared" si="3"/>
        <v>-0.273293594341883</v>
      </c>
      <c r="O116">
        <v>1.38</v>
      </c>
      <c r="P116">
        <v>1519.721</v>
      </c>
      <c r="Q116" s="5">
        <f t="shared" si="4"/>
        <v>1519.74470640566</v>
      </c>
      <c r="U116" s="15">
        <v>286.6</v>
      </c>
      <c r="W116" s="15">
        <f t="shared" si="11"/>
        <v>355490.045648188</v>
      </c>
      <c r="X116" s="15">
        <f t="shared" si="12"/>
        <v>3055880.79344395</v>
      </c>
    </row>
    <row r="117" ht="14.25" customHeight="1" spans="1:24">
      <c r="A117" s="10" t="s">
        <v>138</v>
      </c>
      <c r="B117" s="11">
        <v>1.178</v>
      </c>
      <c r="C117" s="11">
        <v>1.088</v>
      </c>
      <c r="D117" s="11">
        <v>1</v>
      </c>
      <c r="E117" s="11">
        <v>346</v>
      </c>
      <c r="F117" s="11">
        <v>59</v>
      </c>
      <c r="G117" s="11">
        <v>19</v>
      </c>
      <c r="H117" s="5">
        <f t="shared" si="0"/>
        <v>346.988611111111</v>
      </c>
      <c r="I117" s="11">
        <v>89</v>
      </c>
      <c r="J117" s="11">
        <v>49</v>
      </c>
      <c r="K117" s="11">
        <v>59</v>
      </c>
      <c r="L117" s="5">
        <f t="shared" si="1"/>
        <v>89.8330555555555</v>
      </c>
      <c r="M117" s="5">
        <f t="shared" si="2"/>
        <v>17.7998488815637</v>
      </c>
      <c r="N117" s="5">
        <f t="shared" si="3"/>
        <v>0.0518641044318385</v>
      </c>
      <c r="O117">
        <v>1.38</v>
      </c>
      <c r="P117">
        <v>1519.721</v>
      </c>
      <c r="Q117" s="5">
        <f t="shared" si="4"/>
        <v>1520.06486410443</v>
      </c>
      <c r="U117" s="15">
        <v>287.6</v>
      </c>
      <c r="W117" s="15">
        <f t="shared" si="11"/>
        <v>355496.206694127</v>
      </c>
      <c r="X117" s="15">
        <f t="shared" si="12"/>
        <v>3055885.27590865</v>
      </c>
    </row>
    <row r="118" ht="14.25" customHeight="1" spans="1:24">
      <c r="A118" s="10" t="s">
        <v>139</v>
      </c>
      <c r="B118" s="11">
        <v>1.188</v>
      </c>
      <c r="C118" s="11">
        <v>1.091</v>
      </c>
      <c r="D118" s="11">
        <v>1</v>
      </c>
      <c r="E118" s="11">
        <v>343</v>
      </c>
      <c r="F118" s="11">
        <v>13</v>
      </c>
      <c r="G118" s="11">
        <v>51</v>
      </c>
      <c r="H118" s="5">
        <f t="shared" si="0"/>
        <v>343.230833333333</v>
      </c>
      <c r="I118" s="11">
        <v>90</v>
      </c>
      <c r="J118" s="11">
        <v>0</v>
      </c>
      <c r="K118" s="12">
        <v>41</v>
      </c>
      <c r="L118" s="5">
        <f t="shared" si="1"/>
        <v>90.0113888888889</v>
      </c>
      <c r="M118" s="5">
        <f t="shared" si="2"/>
        <v>18.7999992571942</v>
      </c>
      <c r="N118" s="5">
        <f t="shared" si="3"/>
        <v>-0.00373694375555978</v>
      </c>
      <c r="O118">
        <v>1.38</v>
      </c>
      <c r="P118">
        <v>1519.721</v>
      </c>
      <c r="Q118" s="5">
        <f t="shared" si="4"/>
        <v>1520.00626305624</v>
      </c>
      <c r="U118" s="15">
        <v>288.6</v>
      </c>
      <c r="W118" s="15">
        <f t="shared" si="11"/>
        <v>355501.649658897</v>
      </c>
      <c r="X118" s="15">
        <f t="shared" si="12"/>
        <v>3055889.83366974</v>
      </c>
    </row>
    <row r="119" ht="14.25" customHeight="1" spans="1:24">
      <c r="A119" s="10" t="s">
        <v>140</v>
      </c>
      <c r="B119" s="11">
        <v>1.205</v>
      </c>
      <c r="C119" s="11">
        <v>1.102</v>
      </c>
      <c r="D119" s="11">
        <v>1</v>
      </c>
      <c r="E119" s="11">
        <v>343</v>
      </c>
      <c r="F119" s="11">
        <v>43</v>
      </c>
      <c r="G119" s="11">
        <v>57</v>
      </c>
      <c r="H119" s="5">
        <f t="shared" si="0"/>
        <v>343.7325</v>
      </c>
      <c r="I119" s="11">
        <v>89</v>
      </c>
      <c r="J119" s="11">
        <v>53</v>
      </c>
      <c r="K119" s="11">
        <v>49</v>
      </c>
      <c r="L119" s="5">
        <f t="shared" si="1"/>
        <v>89.8969444444445</v>
      </c>
      <c r="M119" s="5">
        <f t="shared" si="2"/>
        <v>20.4999336790184</v>
      </c>
      <c r="N119" s="5">
        <f t="shared" si="3"/>
        <v>0.0368724249908706</v>
      </c>
      <c r="O119">
        <v>1.38</v>
      </c>
      <c r="P119">
        <v>1519.721</v>
      </c>
      <c r="Q119" s="5">
        <f t="shared" si="4"/>
        <v>1520.03587242499</v>
      </c>
      <c r="U119" s="15">
        <v>289.6</v>
      </c>
      <c r="W119" s="15">
        <f t="shared" si="11"/>
        <v>355503.137236686</v>
      </c>
      <c r="X119" s="15">
        <f t="shared" si="12"/>
        <v>3055895.66260691</v>
      </c>
    </row>
    <row r="120" ht="14.25" customHeight="1" spans="1:24">
      <c r="A120" s="10" t="s">
        <v>141</v>
      </c>
      <c r="B120" s="11">
        <v>1.21</v>
      </c>
      <c r="C120" s="11">
        <v>1.105</v>
      </c>
      <c r="D120" s="11">
        <v>1</v>
      </c>
      <c r="E120" s="11">
        <v>340</v>
      </c>
      <c r="F120" s="11">
        <v>8</v>
      </c>
      <c r="G120" s="11">
        <v>59</v>
      </c>
      <c r="H120" s="5">
        <f t="shared" si="0"/>
        <v>340.149722222222</v>
      </c>
      <c r="I120" s="11">
        <v>89</v>
      </c>
      <c r="J120" s="11">
        <v>48</v>
      </c>
      <c r="K120" s="11">
        <v>16</v>
      </c>
      <c r="L120" s="5">
        <f t="shared" si="1"/>
        <v>89.8044444444444</v>
      </c>
      <c r="M120" s="5">
        <f t="shared" si="2"/>
        <v>20.9997553683411</v>
      </c>
      <c r="N120" s="5">
        <f t="shared" si="3"/>
        <v>0.0716742979814009</v>
      </c>
      <c r="O120">
        <v>1.38</v>
      </c>
      <c r="P120">
        <v>1519.721</v>
      </c>
      <c r="Q120" s="5">
        <f t="shared" si="4"/>
        <v>1520.06767429798</v>
      </c>
      <c r="U120" s="15">
        <v>290.6</v>
      </c>
      <c r="W120" s="15">
        <f t="shared" si="11"/>
        <v>355508.552609014</v>
      </c>
      <c r="X120" s="15">
        <f t="shared" si="12"/>
        <v>3055900.03583918</v>
      </c>
    </row>
    <row r="121" ht="14.25" customHeight="1" spans="1:24">
      <c r="A121" s="10" t="s">
        <v>142</v>
      </c>
      <c r="B121" s="11">
        <v>1.215</v>
      </c>
      <c r="C121" s="11">
        <v>1.108</v>
      </c>
      <c r="D121" s="11">
        <v>1</v>
      </c>
      <c r="E121" s="11">
        <v>345</v>
      </c>
      <c r="F121" s="11">
        <v>46</v>
      </c>
      <c r="G121" s="11">
        <v>58</v>
      </c>
      <c r="H121" s="5">
        <f t="shared" si="0"/>
        <v>345.782777777778</v>
      </c>
      <c r="I121" s="11">
        <v>89</v>
      </c>
      <c r="J121" s="11">
        <v>52</v>
      </c>
      <c r="K121" s="11">
        <v>13</v>
      </c>
      <c r="L121" s="5">
        <f t="shared" si="1"/>
        <v>89.8702777777778</v>
      </c>
      <c r="M121" s="5">
        <f t="shared" si="2"/>
        <v>21.4998897899467</v>
      </c>
      <c r="N121" s="5">
        <f t="shared" si="3"/>
        <v>0.0486775513021148</v>
      </c>
      <c r="O121">
        <v>1.38</v>
      </c>
      <c r="P121">
        <v>1519.721</v>
      </c>
      <c r="Q121" s="5">
        <f t="shared" si="4"/>
        <v>1520.0416775513</v>
      </c>
      <c r="U121" s="15">
        <v>291.6</v>
      </c>
      <c r="W121" s="15">
        <f t="shared" si="11"/>
        <v>355505.452304082</v>
      </c>
      <c r="X121" s="15">
        <f t="shared" si="12"/>
        <v>3055907.64813061</v>
      </c>
    </row>
    <row r="122" ht="14.25" customHeight="1" spans="1:24">
      <c r="A122" s="10" t="s">
        <v>143</v>
      </c>
      <c r="B122" s="11">
        <v>1.228</v>
      </c>
      <c r="C122" s="11">
        <v>1.113</v>
      </c>
      <c r="D122" s="11">
        <v>1</v>
      </c>
      <c r="E122" s="11">
        <v>350</v>
      </c>
      <c r="F122" s="11">
        <v>28</v>
      </c>
      <c r="G122" s="11">
        <v>13</v>
      </c>
      <c r="H122" s="5">
        <f t="shared" si="0"/>
        <v>350.470277777778</v>
      </c>
      <c r="I122" s="11">
        <v>89</v>
      </c>
      <c r="J122" s="11">
        <v>45</v>
      </c>
      <c r="K122" s="11">
        <v>34</v>
      </c>
      <c r="L122" s="5">
        <f t="shared" si="1"/>
        <v>89.7594444444444</v>
      </c>
      <c r="M122" s="5">
        <f t="shared" si="2"/>
        <v>22.7995981001789</v>
      </c>
      <c r="N122" s="5">
        <f t="shared" si="3"/>
        <v>0.095724366791097</v>
      </c>
      <c r="O122">
        <v>1.38</v>
      </c>
      <c r="P122">
        <v>1519.721</v>
      </c>
      <c r="Q122" s="5">
        <f t="shared" si="4"/>
        <v>1520.08372436679</v>
      </c>
      <c r="U122" s="15">
        <v>292.6</v>
      </c>
      <c r="W122" s="15">
        <f t="shared" si="11"/>
        <v>355503.395258851</v>
      </c>
      <c r="X122" s="15">
        <f t="shared" si="12"/>
        <v>3055915.0410887</v>
      </c>
    </row>
    <row r="123" ht="14.25" customHeight="1" spans="1:24">
      <c r="A123" s="10" t="s">
        <v>144</v>
      </c>
      <c r="B123" s="11">
        <v>1.27</v>
      </c>
      <c r="C123" s="11">
        <v>1.135</v>
      </c>
      <c r="D123" s="11">
        <v>1</v>
      </c>
      <c r="E123" s="11">
        <v>353</v>
      </c>
      <c r="F123" s="11">
        <v>55</v>
      </c>
      <c r="G123" s="11">
        <v>28</v>
      </c>
      <c r="H123" s="5">
        <f t="shared" si="0"/>
        <v>353.924444444444</v>
      </c>
      <c r="I123" s="11">
        <v>89</v>
      </c>
      <c r="J123" s="11">
        <v>36</v>
      </c>
      <c r="K123" s="11">
        <v>33</v>
      </c>
      <c r="L123" s="5">
        <f t="shared" si="1"/>
        <v>89.6091666666667</v>
      </c>
      <c r="M123" s="5">
        <f t="shared" si="2"/>
        <v>26.9987436953806</v>
      </c>
      <c r="N123" s="5">
        <f t="shared" si="3"/>
        <v>0.184170156170257</v>
      </c>
      <c r="O123">
        <v>1.38</v>
      </c>
      <c r="P123">
        <v>1519.721</v>
      </c>
      <c r="Q123" s="5">
        <f t="shared" si="4"/>
        <v>1520.15017015617</v>
      </c>
      <c r="U123" s="15">
        <v>293.6</v>
      </c>
      <c r="W123" s="15">
        <f t="shared" si="11"/>
        <v>355502.629830125</v>
      </c>
      <c r="X123" s="15">
        <f t="shared" si="12"/>
        <v>3055922.05030915</v>
      </c>
    </row>
    <row r="124" ht="14.25" customHeight="1" spans="1:25">
      <c r="A124" s="6" t="s">
        <v>145</v>
      </c>
      <c r="B124" s="9">
        <v>1.166</v>
      </c>
      <c r="C124" s="9">
        <v>1.083</v>
      </c>
      <c r="D124" s="9">
        <v>1</v>
      </c>
      <c r="E124" s="9">
        <v>216</v>
      </c>
      <c r="F124" s="9">
        <v>58</v>
      </c>
      <c r="G124" s="9">
        <v>7</v>
      </c>
      <c r="H124" s="8">
        <f t="shared" si="0"/>
        <v>216.968611111111</v>
      </c>
      <c r="I124" s="9">
        <v>95</v>
      </c>
      <c r="J124" s="9">
        <v>26</v>
      </c>
      <c r="K124" s="9">
        <v>54</v>
      </c>
      <c r="L124" s="8">
        <f t="shared" si="1"/>
        <v>95.4483333333333</v>
      </c>
      <c r="M124" s="8">
        <f t="shared" si="2"/>
        <v>16.4503486109412</v>
      </c>
      <c r="N124" s="8">
        <f t="shared" si="3"/>
        <v>-1.56901801141016</v>
      </c>
      <c r="O124" s="7">
        <v>1.39</v>
      </c>
      <c r="P124" s="7">
        <v>1516.161</v>
      </c>
      <c r="Q124" s="8">
        <f t="shared" si="4"/>
        <v>1514.89898198859</v>
      </c>
      <c r="R124" s="7" t="s">
        <v>146</v>
      </c>
      <c r="S124" s="7">
        <v>355832.005</v>
      </c>
      <c r="T124" s="7">
        <v>3055735.303</v>
      </c>
      <c r="U124" s="7">
        <v>245.9047222</v>
      </c>
      <c r="V124" s="7"/>
      <c r="W124" s="7">
        <f>$S$124+(H124*SIN(U124*3.141592654/180))</f>
        <v>355633.941335206</v>
      </c>
      <c r="X124" s="7">
        <f>$T$124+(H124*COS(U124*3.141592654/180))</f>
        <v>3055646.72443095</v>
      </c>
      <c r="Y124" s="7"/>
    </row>
    <row r="125" ht="14.25" customHeight="1" spans="1:25">
      <c r="A125" s="10" t="s">
        <v>147</v>
      </c>
      <c r="B125" s="11">
        <v>1.152</v>
      </c>
      <c r="C125" s="11">
        <v>1.076</v>
      </c>
      <c r="D125" s="11">
        <v>1</v>
      </c>
      <c r="E125" s="11">
        <v>210</v>
      </c>
      <c r="F125" s="11">
        <v>10</v>
      </c>
      <c r="G125" s="11">
        <v>0</v>
      </c>
      <c r="H125" s="5">
        <f t="shared" si="0"/>
        <v>210.166666666667</v>
      </c>
      <c r="I125" s="11">
        <v>95</v>
      </c>
      <c r="J125" s="11">
        <v>49</v>
      </c>
      <c r="K125" s="11">
        <v>55</v>
      </c>
      <c r="L125" s="5">
        <f t="shared" si="1"/>
        <v>95.8319444444444</v>
      </c>
      <c r="M125" s="5">
        <f t="shared" si="2"/>
        <v>15.0430632254337</v>
      </c>
      <c r="N125" s="5">
        <f t="shared" si="3"/>
        <v>-1.53649270164124</v>
      </c>
      <c r="O125">
        <v>1.39</v>
      </c>
      <c r="P125">
        <v>1516.161</v>
      </c>
      <c r="Q125" s="5">
        <f t="shared" si="4"/>
        <v>1514.93850729836</v>
      </c>
      <c r="S125" s="19"/>
      <c r="T125" s="19"/>
      <c r="U125" s="19">
        <v>246.9047222</v>
      </c>
      <c r="V125" s="19"/>
      <c r="W125" s="19">
        <f t="shared" ref="W125:W156" si="13">$S$124+(H125*SIN(U125*3.141592654/180))</f>
        <v>355638.682386721</v>
      </c>
      <c r="X125" s="19">
        <f t="shared" ref="X125:X150" si="14">$T$124+(H125*COS(U125*3.141592654/180))</f>
        <v>3055652.86274907</v>
      </c>
      <c r="Y125" s="19"/>
    </row>
    <row r="126" ht="14.25" customHeight="1" spans="1:25">
      <c r="A126" s="10" t="s">
        <v>148</v>
      </c>
      <c r="B126" s="11">
        <v>1.145</v>
      </c>
      <c r="C126" s="11">
        <v>1.072</v>
      </c>
      <c r="D126" s="11">
        <v>1</v>
      </c>
      <c r="E126" s="11">
        <v>201</v>
      </c>
      <c r="F126" s="11">
        <v>9</v>
      </c>
      <c r="G126" s="11">
        <v>6</v>
      </c>
      <c r="H126" s="5">
        <f t="shared" si="0"/>
        <v>201.151666666667</v>
      </c>
      <c r="I126" s="11">
        <v>96</v>
      </c>
      <c r="J126" s="11">
        <v>15</v>
      </c>
      <c r="K126" s="11">
        <v>11</v>
      </c>
      <c r="L126" s="5">
        <f t="shared" si="1"/>
        <v>96.2530555555556</v>
      </c>
      <c r="M126" s="5">
        <f t="shared" si="2"/>
        <v>14.3279786434057</v>
      </c>
      <c r="N126" s="5">
        <f t="shared" si="3"/>
        <v>-1.56994214017356</v>
      </c>
      <c r="O126">
        <v>1.39</v>
      </c>
      <c r="P126">
        <v>1516.161</v>
      </c>
      <c r="Q126" s="5">
        <f t="shared" si="4"/>
        <v>1514.90905785983</v>
      </c>
      <c r="S126" s="19"/>
      <c r="T126" s="19"/>
      <c r="U126" s="19">
        <v>247.9047222</v>
      </c>
      <c r="V126" s="19"/>
      <c r="W126" s="19">
        <f t="shared" si="13"/>
        <v>355645.62598504</v>
      </c>
      <c r="X126" s="19">
        <f t="shared" si="14"/>
        <v>3055659.64022325</v>
      </c>
      <c r="Y126" s="19"/>
    </row>
    <row r="127" ht="14.25" customHeight="1" spans="1:25">
      <c r="A127" s="10" t="s">
        <v>149</v>
      </c>
      <c r="B127" s="11">
        <v>1.13</v>
      </c>
      <c r="C127" s="11">
        <v>1.065</v>
      </c>
      <c r="D127" s="11">
        <v>1</v>
      </c>
      <c r="E127" s="11">
        <v>180</v>
      </c>
      <c r="F127" s="11">
        <v>44</v>
      </c>
      <c r="G127" s="11">
        <v>22</v>
      </c>
      <c r="H127" s="5">
        <f t="shared" si="0"/>
        <v>180.739444444444</v>
      </c>
      <c r="I127" s="11">
        <v>97</v>
      </c>
      <c r="J127" s="11">
        <v>31</v>
      </c>
      <c r="K127" s="11">
        <v>54</v>
      </c>
      <c r="L127" s="5">
        <f t="shared" si="1"/>
        <v>97.5316666666667</v>
      </c>
      <c r="M127" s="5">
        <f t="shared" si="2"/>
        <v>12.7766544365535</v>
      </c>
      <c r="N127" s="5">
        <f t="shared" si="3"/>
        <v>-1.68926288187873</v>
      </c>
      <c r="O127">
        <v>1.39</v>
      </c>
      <c r="P127">
        <v>1516.161</v>
      </c>
      <c r="Q127" s="5">
        <f t="shared" si="4"/>
        <v>1514.79673711812</v>
      </c>
      <c r="S127" s="19"/>
      <c r="T127" s="19"/>
      <c r="U127" s="19">
        <v>248.9047222</v>
      </c>
      <c r="V127" s="19"/>
      <c r="W127" s="19">
        <f t="shared" si="13"/>
        <v>355663.378134384</v>
      </c>
      <c r="X127" s="19">
        <f t="shared" si="14"/>
        <v>3055670.25127465</v>
      </c>
      <c r="Y127" s="19"/>
    </row>
    <row r="128" ht="14.25" customHeight="1" spans="1:25">
      <c r="A128" s="10" t="s">
        <v>150</v>
      </c>
      <c r="B128" s="11">
        <v>1.129</v>
      </c>
      <c r="C128" s="11">
        <v>1.065</v>
      </c>
      <c r="D128" s="11">
        <v>1</v>
      </c>
      <c r="E128" s="11">
        <v>178</v>
      </c>
      <c r="F128" s="11">
        <v>10</v>
      </c>
      <c r="G128" s="11">
        <v>38</v>
      </c>
      <c r="H128" s="5">
        <f t="shared" si="0"/>
        <v>178.177222222222</v>
      </c>
      <c r="I128" s="11">
        <v>98</v>
      </c>
      <c r="J128" s="11">
        <v>41</v>
      </c>
      <c r="K128" s="11">
        <v>2</v>
      </c>
      <c r="L128" s="5">
        <f t="shared" si="1"/>
        <v>98.6838888888889</v>
      </c>
      <c r="M128" s="5">
        <f t="shared" si="2"/>
        <v>12.6059338789398</v>
      </c>
      <c r="N128" s="5">
        <f t="shared" si="3"/>
        <v>-1.92535141678626</v>
      </c>
      <c r="O128">
        <v>1.39</v>
      </c>
      <c r="P128">
        <v>1516.161</v>
      </c>
      <c r="Q128" s="5">
        <f t="shared" si="4"/>
        <v>1514.56064858321</v>
      </c>
      <c r="S128" s="19"/>
      <c r="T128" s="19"/>
      <c r="U128" s="19">
        <v>249.9047222</v>
      </c>
      <c r="V128" s="19"/>
      <c r="W128" s="19">
        <f t="shared" si="13"/>
        <v>355664.674748648</v>
      </c>
      <c r="X128" s="19">
        <f t="shared" si="14"/>
        <v>3055674.08446113</v>
      </c>
      <c r="Y128" s="19"/>
    </row>
    <row r="129" ht="14.25" customHeight="1" spans="1:25">
      <c r="A129" s="10" t="s">
        <v>151</v>
      </c>
      <c r="B129" s="11">
        <v>1.12</v>
      </c>
      <c r="C129" s="11">
        <v>1.059</v>
      </c>
      <c r="D129" s="11">
        <v>1</v>
      </c>
      <c r="E129" s="11">
        <v>166</v>
      </c>
      <c r="F129" s="11">
        <v>13</v>
      </c>
      <c r="G129" s="11">
        <v>4</v>
      </c>
      <c r="H129" s="5">
        <f t="shared" si="0"/>
        <v>166.217777777778</v>
      </c>
      <c r="I129" s="11">
        <v>99</v>
      </c>
      <c r="J129" s="11">
        <v>35</v>
      </c>
      <c r="K129" s="11">
        <v>52</v>
      </c>
      <c r="L129" s="5">
        <f t="shared" si="1"/>
        <v>99.5977777777778</v>
      </c>
      <c r="M129" s="5">
        <f t="shared" si="2"/>
        <v>11.666411265865</v>
      </c>
      <c r="N129" s="5">
        <f t="shared" si="3"/>
        <v>-1.97276034177441</v>
      </c>
      <c r="O129">
        <v>1.39</v>
      </c>
      <c r="P129">
        <v>1516.161</v>
      </c>
      <c r="Q129" s="5">
        <f t="shared" si="4"/>
        <v>1514.51923965823</v>
      </c>
      <c r="S129" s="19"/>
      <c r="T129" s="19"/>
      <c r="U129" s="19">
        <v>250.9047222</v>
      </c>
      <c r="V129" s="19"/>
      <c r="W129" s="19">
        <f t="shared" si="13"/>
        <v>355674.933209545</v>
      </c>
      <c r="X129" s="19">
        <f t="shared" si="14"/>
        <v>3055680.92651342</v>
      </c>
      <c r="Y129" s="19"/>
    </row>
    <row r="130" ht="14.25" customHeight="1" spans="1:25">
      <c r="A130" s="10" t="s">
        <v>152</v>
      </c>
      <c r="B130" s="11">
        <v>1.11</v>
      </c>
      <c r="C130" s="11">
        <v>1.055</v>
      </c>
      <c r="D130" s="11">
        <v>1</v>
      </c>
      <c r="E130" s="11">
        <v>144</v>
      </c>
      <c r="F130" s="11">
        <v>43</v>
      </c>
      <c r="G130" s="11">
        <v>22</v>
      </c>
      <c r="H130" s="5">
        <f t="shared" si="0"/>
        <v>144.722777777778</v>
      </c>
      <c r="I130" s="11">
        <v>99</v>
      </c>
      <c r="J130" s="11">
        <v>59</v>
      </c>
      <c r="K130" s="11">
        <v>41</v>
      </c>
      <c r="L130" s="5">
        <f t="shared" si="1"/>
        <v>99.9947222222222</v>
      </c>
      <c r="M130" s="5">
        <f t="shared" si="2"/>
        <v>10.6686558821467</v>
      </c>
      <c r="N130" s="5">
        <f t="shared" si="3"/>
        <v>-1.88015860287108</v>
      </c>
      <c r="O130">
        <v>1.39</v>
      </c>
      <c r="P130">
        <v>1516.161</v>
      </c>
      <c r="Q130" s="5">
        <f t="shared" si="4"/>
        <v>1514.61584139713</v>
      </c>
      <c r="S130" s="19"/>
      <c r="T130" s="19"/>
      <c r="U130" s="19">
        <v>251.9047222</v>
      </c>
      <c r="V130" s="19"/>
      <c r="W130" s="19">
        <f t="shared" si="13"/>
        <v>355694.440017767</v>
      </c>
      <c r="X130" s="19">
        <f t="shared" si="14"/>
        <v>3055690.35238186</v>
      </c>
      <c r="Y130" s="19"/>
    </row>
    <row r="131" ht="14.25" customHeight="1" spans="1:25">
      <c r="A131" s="10" t="s">
        <v>153</v>
      </c>
      <c r="B131" s="11">
        <v>1.082</v>
      </c>
      <c r="C131" s="11">
        <v>1.041</v>
      </c>
      <c r="D131" s="11">
        <v>1</v>
      </c>
      <c r="E131" s="11">
        <v>142</v>
      </c>
      <c r="F131" s="11">
        <v>41</v>
      </c>
      <c r="G131" s="11">
        <v>41</v>
      </c>
      <c r="H131" s="5">
        <f t="shared" si="0"/>
        <v>142.694722222222</v>
      </c>
      <c r="I131" s="11">
        <v>101</v>
      </c>
      <c r="J131" s="11">
        <v>9</v>
      </c>
      <c r="K131" s="11">
        <v>33</v>
      </c>
      <c r="L131" s="5">
        <f t="shared" si="1"/>
        <v>101.159166666667</v>
      </c>
      <c r="M131" s="5">
        <f t="shared" si="2"/>
        <v>7.89286184045354</v>
      </c>
      <c r="N131" s="5">
        <f t="shared" si="3"/>
        <v>-1.55698396241948</v>
      </c>
      <c r="O131">
        <v>1.39</v>
      </c>
      <c r="P131">
        <v>1516.161</v>
      </c>
      <c r="Q131" s="5">
        <f t="shared" si="4"/>
        <v>1514.95301603758</v>
      </c>
      <c r="S131" s="19"/>
      <c r="T131" s="19"/>
      <c r="U131" s="19">
        <v>252.9047222</v>
      </c>
      <c r="V131" s="19"/>
      <c r="W131" s="19">
        <f t="shared" si="13"/>
        <v>355695.614923598</v>
      </c>
      <c r="X131" s="19">
        <f t="shared" si="14"/>
        <v>3055693.35623839</v>
      </c>
      <c r="Y131" s="19"/>
    </row>
    <row r="132" ht="14.25" customHeight="1" spans="1:25">
      <c r="A132" s="10" t="s">
        <v>154</v>
      </c>
      <c r="B132" s="11">
        <v>1.083</v>
      </c>
      <c r="C132" s="11">
        <v>1.041</v>
      </c>
      <c r="D132" s="11">
        <v>1</v>
      </c>
      <c r="E132" s="11">
        <v>166</v>
      </c>
      <c r="F132" s="11">
        <v>58</v>
      </c>
      <c r="G132" s="11">
        <v>56</v>
      </c>
      <c r="H132" s="5">
        <f t="shared" si="0"/>
        <v>166.982222222222</v>
      </c>
      <c r="I132" s="11">
        <v>100</v>
      </c>
      <c r="J132" s="11">
        <v>27</v>
      </c>
      <c r="K132" s="11">
        <v>58</v>
      </c>
      <c r="L132" s="5">
        <f t="shared" si="1"/>
        <v>100.466111111111</v>
      </c>
      <c r="M132" s="5">
        <f t="shared" si="2"/>
        <v>8.02611536704287</v>
      </c>
      <c r="N132" s="5">
        <f t="shared" si="3"/>
        <v>-1.48264279628444</v>
      </c>
      <c r="O132">
        <v>1.39</v>
      </c>
      <c r="P132">
        <v>1516.161</v>
      </c>
      <c r="Q132" s="5">
        <f t="shared" si="4"/>
        <v>1515.02735720372</v>
      </c>
      <c r="S132" s="19"/>
      <c r="T132" s="19"/>
      <c r="U132" s="19">
        <v>253.9047222</v>
      </c>
      <c r="V132" s="19"/>
      <c r="W132" s="19">
        <f t="shared" si="13"/>
        <v>355671.568145796</v>
      </c>
      <c r="X132" s="19">
        <f t="shared" si="14"/>
        <v>3055689.00960575</v>
      </c>
      <c r="Y132" s="19"/>
    </row>
    <row r="133" ht="14.25" customHeight="1" spans="1:25">
      <c r="A133" s="10" t="s">
        <v>155</v>
      </c>
      <c r="B133" s="11">
        <v>1.085</v>
      </c>
      <c r="C133" s="11">
        <v>1.042</v>
      </c>
      <c r="D133" s="11">
        <v>1</v>
      </c>
      <c r="E133" s="11">
        <v>176</v>
      </c>
      <c r="F133" s="11">
        <v>57</v>
      </c>
      <c r="G133" s="11">
        <v>12</v>
      </c>
      <c r="H133" s="5">
        <f t="shared" si="0"/>
        <v>176.953333333333</v>
      </c>
      <c r="I133" s="11">
        <v>99</v>
      </c>
      <c r="J133" s="11">
        <v>58</v>
      </c>
      <c r="K133" s="11">
        <v>23</v>
      </c>
      <c r="L133" s="5">
        <f t="shared" si="1"/>
        <v>99.9730555555556</v>
      </c>
      <c r="M133" s="5">
        <f t="shared" si="2"/>
        <v>8.24505902499106</v>
      </c>
      <c r="N133" s="5">
        <f t="shared" si="3"/>
        <v>-1.44982874396855</v>
      </c>
      <c r="O133">
        <v>1.39</v>
      </c>
      <c r="P133">
        <v>1516.161</v>
      </c>
      <c r="Q133" s="5">
        <f t="shared" si="4"/>
        <v>1515.05917125603</v>
      </c>
      <c r="S133" s="19"/>
      <c r="T133" s="19"/>
      <c r="U133" s="19">
        <v>254.9047222</v>
      </c>
      <c r="V133" s="19"/>
      <c r="W133" s="19">
        <f t="shared" si="13"/>
        <v>355661.157601046</v>
      </c>
      <c r="X133" s="19">
        <f t="shared" si="14"/>
        <v>3055689.21993968</v>
      </c>
      <c r="Y133" s="19"/>
    </row>
    <row r="134" ht="14.25" customHeight="1" spans="1:25">
      <c r="A134" s="10" t="s">
        <v>156</v>
      </c>
      <c r="B134" s="11">
        <v>1.076</v>
      </c>
      <c r="C134" s="11">
        <v>1.038</v>
      </c>
      <c r="D134" s="11">
        <v>1</v>
      </c>
      <c r="E134" s="11">
        <v>174</v>
      </c>
      <c r="F134" s="11">
        <v>12</v>
      </c>
      <c r="G134" s="11">
        <v>27</v>
      </c>
      <c r="H134" s="5">
        <f t="shared" si="0"/>
        <v>174.2075</v>
      </c>
      <c r="I134" s="11">
        <v>100</v>
      </c>
      <c r="J134" s="11">
        <v>39</v>
      </c>
      <c r="K134" s="11">
        <v>19</v>
      </c>
      <c r="L134" s="5">
        <f t="shared" si="1"/>
        <v>100.655277777778</v>
      </c>
      <c r="M134" s="5">
        <f t="shared" si="2"/>
        <v>7.34017230310877</v>
      </c>
      <c r="N134" s="5">
        <f t="shared" si="3"/>
        <v>-1.38100690233668</v>
      </c>
      <c r="O134">
        <v>1.39</v>
      </c>
      <c r="P134">
        <v>1516.161</v>
      </c>
      <c r="Q134" s="5">
        <f t="shared" si="4"/>
        <v>1515.13199309766</v>
      </c>
      <c r="S134" s="19"/>
      <c r="T134" s="19"/>
      <c r="U134" s="19">
        <v>255.9047222</v>
      </c>
      <c r="V134" s="19"/>
      <c r="W134" s="19">
        <f t="shared" si="13"/>
        <v>355663.042523665</v>
      </c>
      <c r="X134" s="19">
        <f t="shared" si="14"/>
        <v>3055692.87736333</v>
      </c>
      <c r="Y134" s="19"/>
    </row>
    <row r="135" ht="14.25" customHeight="1" spans="1:25">
      <c r="A135" s="10" t="s">
        <v>157</v>
      </c>
      <c r="B135" s="11">
        <v>1.59</v>
      </c>
      <c r="C135" s="11">
        <v>1.545</v>
      </c>
      <c r="D135" s="11">
        <v>1.5</v>
      </c>
      <c r="E135" s="11">
        <v>170</v>
      </c>
      <c r="F135" s="11">
        <v>19</v>
      </c>
      <c r="G135" s="11">
        <v>57</v>
      </c>
      <c r="H135" s="5">
        <f t="shared" si="0"/>
        <v>170.3325</v>
      </c>
      <c r="I135" s="11">
        <v>96</v>
      </c>
      <c r="J135" s="11">
        <v>26</v>
      </c>
      <c r="K135" s="11">
        <v>56</v>
      </c>
      <c r="L135" s="5">
        <f t="shared" si="1"/>
        <v>96.4488888888889</v>
      </c>
      <c r="M135" s="5">
        <f t="shared" si="2"/>
        <v>8.88646433505708</v>
      </c>
      <c r="N135" s="5">
        <f t="shared" si="3"/>
        <v>-1.00445539337111</v>
      </c>
      <c r="O135">
        <v>1.39</v>
      </c>
      <c r="P135">
        <v>1516.161</v>
      </c>
      <c r="Q135" s="5">
        <f t="shared" si="4"/>
        <v>1515.00154460663</v>
      </c>
      <c r="S135" s="19"/>
      <c r="T135" s="19"/>
      <c r="U135" s="19">
        <v>256.9047222</v>
      </c>
      <c r="V135" s="19"/>
      <c r="W135" s="19">
        <f t="shared" si="13"/>
        <v>355666.10205726</v>
      </c>
      <c r="X135" s="19">
        <f t="shared" si="14"/>
        <v>3055696.71058952</v>
      </c>
      <c r="Y135" s="19"/>
    </row>
    <row r="136" ht="14.25" customHeight="1" spans="1:25">
      <c r="A136" s="10" t="s">
        <v>158</v>
      </c>
      <c r="B136" s="11">
        <v>1.092</v>
      </c>
      <c r="C136" s="11">
        <v>1.046</v>
      </c>
      <c r="D136" s="11">
        <v>1</v>
      </c>
      <c r="E136" s="11">
        <v>186</v>
      </c>
      <c r="F136" s="11">
        <v>13</v>
      </c>
      <c r="G136" s="11">
        <v>4</v>
      </c>
      <c r="H136" s="5">
        <f t="shared" si="0"/>
        <v>186.217777777778</v>
      </c>
      <c r="I136" s="11">
        <v>99</v>
      </c>
      <c r="J136" s="11">
        <v>13</v>
      </c>
      <c r="K136" s="11">
        <v>3</v>
      </c>
      <c r="L136" s="5">
        <f t="shared" si="1"/>
        <v>99.2175</v>
      </c>
      <c r="M136" s="5">
        <f t="shared" si="2"/>
        <v>8.9639418717269</v>
      </c>
      <c r="N136" s="5">
        <f t="shared" si="3"/>
        <v>-1.45465162158806</v>
      </c>
      <c r="O136">
        <v>1.39</v>
      </c>
      <c r="P136">
        <v>1516.161</v>
      </c>
      <c r="Q136" s="5">
        <f t="shared" si="4"/>
        <v>1515.05034837841</v>
      </c>
      <c r="S136" s="19"/>
      <c r="T136" s="19"/>
      <c r="U136" s="19">
        <v>257.9047222</v>
      </c>
      <c r="V136" s="19"/>
      <c r="W136" s="19">
        <f t="shared" si="13"/>
        <v>355649.921161938</v>
      </c>
      <c r="X136" s="19">
        <f t="shared" si="14"/>
        <v>3055696.28330398</v>
      </c>
      <c r="Y136" s="19"/>
    </row>
    <row r="137" ht="14.25" customHeight="1" spans="1:25">
      <c r="A137" s="10" t="s">
        <v>159</v>
      </c>
      <c r="B137" s="11">
        <v>1.096</v>
      </c>
      <c r="C137" s="11">
        <v>1.048</v>
      </c>
      <c r="D137" s="11">
        <v>1</v>
      </c>
      <c r="E137" s="11">
        <v>193</v>
      </c>
      <c r="F137" s="11">
        <v>43</v>
      </c>
      <c r="G137" s="11">
        <v>58</v>
      </c>
      <c r="H137" s="5">
        <f t="shared" si="0"/>
        <v>193.732777777778</v>
      </c>
      <c r="I137" s="11">
        <v>98</v>
      </c>
      <c r="J137" s="11">
        <v>15</v>
      </c>
      <c r="K137" s="11">
        <v>45</v>
      </c>
      <c r="L137" s="5">
        <f t="shared" si="1"/>
        <v>98.2625</v>
      </c>
      <c r="M137" s="5">
        <f t="shared" si="2"/>
        <v>9.40173944892947</v>
      </c>
      <c r="N137" s="5">
        <f t="shared" si="3"/>
        <v>-1.36528167209787</v>
      </c>
      <c r="O137">
        <v>1.39</v>
      </c>
      <c r="P137">
        <v>1516.161</v>
      </c>
      <c r="Q137" s="5">
        <f t="shared" si="4"/>
        <v>1515.1377183279</v>
      </c>
      <c r="S137" s="19"/>
      <c r="T137" s="19"/>
      <c r="U137" s="19">
        <v>258.9047222</v>
      </c>
      <c r="V137" s="19"/>
      <c r="W137" s="19">
        <f t="shared" si="13"/>
        <v>355641.893373006</v>
      </c>
      <c r="X137" s="19">
        <f t="shared" si="14"/>
        <v>3055698.02085324</v>
      </c>
      <c r="Y137" s="19"/>
    </row>
    <row r="138" ht="14.25" customHeight="1" spans="1:25">
      <c r="A138" s="10" t="s">
        <v>160</v>
      </c>
      <c r="B138" s="11">
        <v>1.084</v>
      </c>
      <c r="C138" s="11">
        <v>1.042</v>
      </c>
      <c r="D138" s="11">
        <v>1</v>
      </c>
      <c r="E138" s="11">
        <v>196</v>
      </c>
      <c r="F138" s="11">
        <v>36</v>
      </c>
      <c r="G138" s="11">
        <v>19</v>
      </c>
      <c r="H138" s="5">
        <f t="shared" si="0"/>
        <v>196.605277777778</v>
      </c>
      <c r="I138" s="11">
        <v>98</v>
      </c>
      <c r="J138" s="11">
        <v>6</v>
      </c>
      <c r="K138" s="11">
        <v>34</v>
      </c>
      <c r="L138" s="5">
        <f t="shared" si="1"/>
        <v>98.1094444444444</v>
      </c>
      <c r="M138" s="5">
        <f t="shared" si="2"/>
        <v>8.2328469618134</v>
      </c>
      <c r="N138" s="5">
        <f t="shared" si="3"/>
        <v>-1.17309223106816</v>
      </c>
      <c r="O138">
        <v>1.39</v>
      </c>
      <c r="P138">
        <v>1516.161</v>
      </c>
      <c r="Q138" s="5">
        <f t="shared" si="4"/>
        <v>1515.33590776893</v>
      </c>
      <c r="S138" s="19"/>
      <c r="T138" s="19"/>
      <c r="U138" s="19">
        <v>259.9047222</v>
      </c>
      <c r="V138" s="19"/>
      <c r="W138" s="19">
        <f t="shared" si="13"/>
        <v>355638.443637857</v>
      </c>
      <c r="X138" s="19">
        <f t="shared" si="14"/>
        <v>3055700.84092903</v>
      </c>
      <c r="Y138" s="19"/>
    </row>
    <row r="139" ht="14.25" customHeight="1" spans="1:25">
      <c r="A139" s="10" t="s">
        <v>161</v>
      </c>
      <c r="B139" s="11">
        <v>1.102</v>
      </c>
      <c r="C139" s="11">
        <v>1.051</v>
      </c>
      <c r="D139" s="11">
        <v>1</v>
      </c>
      <c r="E139" s="11">
        <v>189</v>
      </c>
      <c r="F139" s="11">
        <v>30</v>
      </c>
      <c r="G139" s="11">
        <v>43</v>
      </c>
      <c r="H139" s="5">
        <f t="shared" si="0"/>
        <v>189.511944444444</v>
      </c>
      <c r="I139" s="11">
        <v>98</v>
      </c>
      <c r="J139" s="11">
        <v>25</v>
      </c>
      <c r="K139" s="11">
        <v>10</v>
      </c>
      <c r="L139" s="5">
        <f t="shared" si="1"/>
        <v>98.4194444444445</v>
      </c>
      <c r="M139" s="5">
        <f t="shared" si="2"/>
        <v>9.9813278091722</v>
      </c>
      <c r="N139" s="5">
        <f t="shared" si="3"/>
        <v>-1.47737565277158</v>
      </c>
      <c r="O139">
        <v>1.39</v>
      </c>
      <c r="P139">
        <v>1516.161</v>
      </c>
      <c r="Q139" s="5">
        <f t="shared" si="4"/>
        <v>1515.02262434723</v>
      </c>
      <c r="S139" s="19"/>
      <c r="T139" s="19"/>
      <c r="U139" s="19">
        <v>260.9047222</v>
      </c>
      <c r="V139" s="19"/>
      <c r="W139" s="19">
        <f t="shared" si="13"/>
        <v>355644.875819829</v>
      </c>
      <c r="X139" s="19">
        <f t="shared" si="14"/>
        <v>3055705.34557996</v>
      </c>
      <c r="Y139" s="19"/>
    </row>
    <row r="140" ht="14.25" customHeight="1" spans="1:25">
      <c r="A140" s="10" t="s">
        <v>162</v>
      </c>
      <c r="B140" s="11">
        <v>1.11</v>
      </c>
      <c r="C140" s="11">
        <v>1.055</v>
      </c>
      <c r="D140" s="11">
        <v>1</v>
      </c>
      <c r="E140" s="11">
        <v>178</v>
      </c>
      <c r="F140" s="11">
        <v>10</v>
      </c>
      <c r="G140" s="11">
        <v>38</v>
      </c>
      <c r="H140" s="5">
        <f t="shared" si="0"/>
        <v>178.177222222222</v>
      </c>
      <c r="I140" s="11">
        <v>98</v>
      </c>
      <c r="J140" s="11">
        <v>41</v>
      </c>
      <c r="K140" s="11">
        <v>2</v>
      </c>
      <c r="L140" s="5">
        <f t="shared" si="1"/>
        <v>98.6838888888889</v>
      </c>
      <c r="M140">
        <v>10.892</v>
      </c>
      <c r="N140">
        <v>-1.082</v>
      </c>
      <c r="O140">
        <v>1.39</v>
      </c>
      <c r="P140">
        <v>1516.161</v>
      </c>
      <c r="Q140" s="5">
        <f>P140+O140+N140-B140</f>
        <v>1515.359</v>
      </c>
      <c r="S140" s="19"/>
      <c r="T140" s="19"/>
      <c r="U140" s="19">
        <v>261.9047222</v>
      </c>
      <c r="V140" s="19"/>
      <c r="W140" s="19">
        <f t="shared" si="13"/>
        <v>355655.603266183</v>
      </c>
      <c r="X140" s="19">
        <f t="shared" si="14"/>
        <v>3055710.21214857</v>
      </c>
      <c r="Y140" s="19"/>
    </row>
    <row r="141" ht="14.25" customHeight="1" spans="1:25">
      <c r="A141" s="10" t="s">
        <v>163</v>
      </c>
      <c r="B141" s="11">
        <v>1.113</v>
      </c>
      <c r="C141" s="11">
        <v>1.056</v>
      </c>
      <c r="D141" s="11">
        <v>1</v>
      </c>
      <c r="E141" s="11">
        <v>166</v>
      </c>
      <c r="F141" s="11">
        <v>13</v>
      </c>
      <c r="G141" s="11">
        <v>4</v>
      </c>
      <c r="H141" s="5">
        <f t="shared" si="0"/>
        <v>166.217777777778</v>
      </c>
      <c r="I141" s="11">
        <v>99</v>
      </c>
      <c r="J141" s="11">
        <v>35</v>
      </c>
      <c r="K141" s="11">
        <v>52</v>
      </c>
      <c r="L141" s="5">
        <f t="shared" si="1"/>
        <v>99.5977777777778</v>
      </c>
      <c r="M141" s="5">
        <f t="shared" ref="M141:M304" si="15">100*(B141-D141)*SIN(RADIANS(L141))^2</f>
        <v>10.9858706086896</v>
      </c>
      <c r="N141" s="5">
        <f t="shared" ref="N141:N304" si="16">100*(B141-D141)*SIN(RADIANS(L141))*COS(RADIANS(L141))</f>
        <v>-1.8576826551709</v>
      </c>
      <c r="O141">
        <v>1.39</v>
      </c>
      <c r="P141">
        <v>1516.161</v>
      </c>
      <c r="Q141" s="5">
        <f t="shared" ref="Q141:Q683" si="17">P141+O141+N141-C141</f>
        <v>1514.63731734483</v>
      </c>
      <c r="S141" s="19"/>
      <c r="T141" s="19"/>
      <c r="U141" s="19">
        <v>262.9047222</v>
      </c>
      <c r="V141" s="19"/>
      <c r="W141" s="19">
        <f t="shared" si="13"/>
        <v>355667.060097758</v>
      </c>
      <c r="X141" s="19">
        <f t="shared" si="14"/>
        <v>3055714.77183165</v>
      </c>
      <c r="Y141" s="19"/>
    </row>
    <row r="142" ht="14.25" customHeight="1" spans="1:25">
      <c r="A142" s="10" t="s">
        <v>164</v>
      </c>
      <c r="B142" s="11">
        <v>1.13</v>
      </c>
      <c r="C142" s="11">
        <v>1.065</v>
      </c>
      <c r="D142" s="11">
        <v>1</v>
      </c>
      <c r="E142" s="11">
        <v>144</v>
      </c>
      <c r="F142" s="11">
        <v>13</v>
      </c>
      <c r="G142" s="11">
        <v>22</v>
      </c>
      <c r="H142" s="5">
        <f t="shared" si="0"/>
        <v>144.222777777778</v>
      </c>
      <c r="I142" s="11">
        <v>99</v>
      </c>
      <c r="J142" s="11">
        <v>59</v>
      </c>
      <c r="K142" s="11">
        <v>41</v>
      </c>
      <c r="L142" s="5">
        <f t="shared" si="1"/>
        <v>99.9947222222222</v>
      </c>
      <c r="M142" s="5">
        <f t="shared" si="15"/>
        <v>12.6084114970825</v>
      </c>
      <c r="N142" s="5">
        <f t="shared" si="16"/>
        <v>-2.22200562157491</v>
      </c>
      <c r="O142">
        <v>1.39</v>
      </c>
      <c r="P142">
        <v>1516.161</v>
      </c>
      <c r="Q142" s="5">
        <f t="shared" si="17"/>
        <v>1514.26399437843</v>
      </c>
      <c r="S142" s="19"/>
      <c r="T142" s="19"/>
      <c r="U142" s="19">
        <v>263.9047222</v>
      </c>
      <c r="V142" s="19"/>
      <c r="W142" s="19">
        <f t="shared" si="13"/>
        <v>355688.597557013</v>
      </c>
      <c r="X142" s="19">
        <f t="shared" si="14"/>
        <v>3055719.98911983</v>
      </c>
      <c r="Y142" s="19"/>
    </row>
    <row r="143" ht="14.25" customHeight="1" spans="1:25">
      <c r="A143" s="10" t="s">
        <v>165</v>
      </c>
      <c r="B143" s="11">
        <v>1.151</v>
      </c>
      <c r="C143" s="11">
        <v>1.076</v>
      </c>
      <c r="D143" s="11">
        <v>1</v>
      </c>
      <c r="E143" s="11">
        <v>142</v>
      </c>
      <c r="F143" s="11">
        <v>41</v>
      </c>
      <c r="G143" s="11">
        <v>41</v>
      </c>
      <c r="H143" s="5">
        <f t="shared" si="0"/>
        <v>142.694722222222</v>
      </c>
      <c r="I143" s="11">
        <v>101</v>
      </c>
      <c r="J143" s="11">
        <v>9</v>
      </c>
      <c r="K143" s="11">
        <v>33</v>
      </c>
      <c r="L143" s="5">
        <f t="shared" si="1"/>
        <v>101.159166666667</v>
      </c>
      <c r="M143" s="5">
        <f t="shared" si="15"/>
        <v>14.5344163159571</v>
      </c>
      <c r="N143" s="5">
        <f t="shared" si="16"/>
        <v>-2.86712900396758</v>
      </c>
      <c r="O143">
        <v>1.39</v>
      </c>
      <c r="P143">
        <v>1516.161</v>
      </c>
      <c r="Q143" s="5">
        <f t="shared" si="17"/>
        <v>1513.60787099603</v>
      </c>
      <c r="S143" s="19"/>
      <c r="T143" s="19"/>
      <c r="U143" s="19">
        <v>264.9047222</v>
      </c>
      <c r="V143" s="19"/>
      <c r="W143" s="19">
        <f t="shared" si="13"/>
        <v>355689.874151874</v>
      </c>
      <c r="X143" s="19">
        <f t="shared" si="14"/>
        <v>3055722.62996718</v>
      </c>
      <c r="Y143" s="19"/>
    </row>
    <row r="144" ht="14.25" customHeight="1" spans="1:25">
      <c r="A144" s="10" t="s">
        <v>166</v>
      </c>
      <c r="B144" s="11">
        <v>1.18</v>
      </c>
      <c r="C144" s="11">
        <v>1.09</v>
      </c>
      <c r="D144" s="11">
        <v>1</v>
      </c>
      <c r="E144" s="11">
        <v>166</v>
      </c>
      <c r="F144" s="11">
        <v>58</v>
      </c>
      <c r="G144" s="11">
        <v>56</v>
      </c>
      <c r="H144" s="5">
        <f t="shared" si="0"/>
        <v>166.982222222222</v>
      </c>
      <c r="I144" s="11">
        <v>100</v>
      </c>
      <c r="J144" s="11">
        <v>27</v>
      </c>
      <c r="K144" s="11">
        <v>58</v>
      </c>
      <c r="L144" s="5">
        <f t="shared" si="1"/>
        <v>100.466111111111</v>
      </c>
      <c r="M144" s="5">
        <f t="shared" si="15"/>
        <v>17.4060333261171</v>
      </c>
      <c r="N144" s="5">
        <f t="shared" si="16"/>
        <v>-3.21536991965299</v>
      </c>
      <c r="O144">
        <v>1.39</v>
      </c>
      <c r="P144">
        <v>1516.161</v>
      </c>
      <c r="Q144" s="5">
        <f t="shared" si="17"/>
        <v>1513.24563008035</v>
      </c>
      <c r="S144" s="19"/>
      <c r="T144" s="19"/>
      <c r="U144" s="19">
        <v>265.9047222</v>
      </c>
      <c r="V144" s="19"/>
      <c r="W144" s="19">
        <f t="shared" si="13"/>
        <v>355665.449138118</v>
      </c>
      <c r="X144" s="19">
        <f t="shared" si="14"/>
        <v>3055723.37792511</v>
      </c>
      <c r="Y144" s="19"/>
    </row>
    <row r="145" ht="14.25" customHeight="1" spans="1:25">
      <c r="A145" s="10" t="s">
        <v>167</v>
      </c>
      <c r="B145" s="11">
        <v>1.16</v>
      </c>
      <c r="C145" s="11">
        <v>1.08</v>
      </c>
      <c r="D145" s="11">
        <v>1</v>
      </c>
      <c r="E145" s="11">
        <v>176</v>
      </c>
      <c r="F145" s="11">
        <v>57</v>
      </c>
      <c r="G145" s="11">
        <v>12</v>
      </c>
      <c r="H145" s="5">
        <f t="shared" si="0"/>
        <v>176.953333333333</v>
      </c>
      <c r="I145" s="11">
        <v>99</v>
      </c>
      <c r="J145" s="11">
        <v>58</v>
      </c>
      <c r="K145" s="11">
        <v>23</v>
      </c>
      <c r="L145" s="5">
        <f t="shared" si="1"/>
        <v>99.9730555555556</v>
      </c>
      <c r="M145" s="5">
        <f t="shared" si="15"/>
        <v>15.5201111058655</v>
      </c>
      <c r="N145" s="5">
        <f t="shared" si="16"/>
        <v>-2.72908940041138</v>
      </c>
      <c r="O145">
        <v>1.39</v>
      </c>
      <c r="P145">
        <v>1516.161</v>
      </c>
      <c r="Q145" s="5">
        <f t="shared" si="17"/>
        <v>1513.74191059959</v>
      </c>
      <c r="S145" s="19"/>
      <c r="T145" s="19"/>
      <c r="U145" s="19">
        <v>266.9047222</v>
      </c>
      <c r="V145" s="19"/>
      <c r="W145" s="19">
        <f t="shared" si="13"/>
        <v>355655.309819632</v>
      </c>
      <c r="X145" s="19">
        <f t="shared" si="14"/>
        <v>3055725.74813671</v>
      </c>
      <c r="Y145" s="19"/>
    </row>
    <row r="146" ht="14.25" customHeight="1" spans="1:25">
      <c r="A146" s="10" t="s">
        <v>168</v>
      </c>
      <c r="B146" s="11">
        <v>1.143</v>
      </c>
      <c r="C146" s="11">
        <v>1.071</v>
      </c>
      <c r="D146" s="11">
        <v>1</v>
      </c>
      <c r="E146" s="11">
        <v>174</v>
      </c>
      <c r="F146" s="11">
        <v>12</v>
      </c>
      <c r="G146" s="11">
        <v>27</v>
      </c>
      <c r="H146" s="5">
        <f t="shared" si="0"/>
        <v>174.2075</v>
      </c>
      <c r="I146" s="11">
        <v>100</v>
      </c>
      <c r="J146" s="11">
        <v>39</v>
      </c>
      <c r="K146" s="11">
        <v>19</v>
      </c>
      <c r="L146" s="5">
        <f t="shared" si="1"/>
        <v>100.655277777778</v>
      </c>
      <c r="M146" s="5">
        <f t="shared" si="15"/>
        <v>13.8111136755862</v>
      </c>
      <c r="N146" s="5">
        <f t="shared" si="16"/>
        <v>-2.59847351360718</v>
      </c>
      <c r="O146">
        <v>1.39</v>
      </c>
      <c r="P146">
        <v>1516.161</v>
      </c>
      <c r="Q146" s="5">
        <f t="shared" si="17"/>
        <v>1513.88152648639</v>
      </c>
      <c r="S146" s="19"/>
      <c r="T146" s="19"/>
      <c r="U146" s="19">
        <v>267.9047222</v>
      </c>
      <c r="V146" s="19"/>
      <c r="W146" s="19">
        <f t="shared" si="13"/>
        <v>355657.913973304</v>
      </c>
      <c r="X146" s="19">
        <f t="shared" si="14"/>
        <v>3055728.93373942</v>
      </c>
      <c r="Y146" s="19"/>
    </row>
    <row r="147" ht="14.25" customHeight="1" spans="1:25">
      <c r="A147" s="10" t="s">
        <v>169</v>
      </c>
      <c r="B147" s="11">
        <v>1.122</v>
      </c>
      <c r="C147" s="11">
        <v>1.06</v>
      </c>
      <c r="D147" s="11">
        <v>1</v>
      </c>
      <c r="E147" s="11">
        <v>170</v>
      </c>
      <c r="F147" s="11">
        <v>19</v>
      </c>
      <c r="G147" s="11">
        <v>57</v>
      </c>
      <c r="H147" s="5">
        <f t="shared" si="0"/>
        <v>170.3325</v>
      </c>
      <c r="I147" s="11">
        <v>96</v>
      </c>
      <c r="J147" s="11">
        <v>26</v>
      </c>
      <c r="K147" s="11">
        <v>56</v>
      </c>
      <c r="L147" s="5">
        <f t="shared" si="1"/>
        <v>96.4488888888889</v>
      </c>
      <c r="M147" s="5">
        <f t="shared" si="15"/>
        <v>12.0460960986329</v>
      </c>
      <c r="N147" s="5">
        <f t="shared" si="16"/>
        <v>-1.36159508879195</v>
      </c>
      <c r="O147">
        <v>1.39</v>
      </c>
      <c r="P147">
        <v>1516.161</v>
      </c>
      <c r="Q147" s="5">
        <f t="shared" si="17"/>
        <v>1515.12940491121</v>
      </c>
      <c r="S147" s="19"/>
      <c r="T147" s="19"/>
      <c r="U147" s="19">
        <v>268.9047222</v>
      </c>
      <c r="V147" s="19"/>
      <c r="W147" s="19">
        <f t="shared" si="13"/>
        <v>355661.703621289</v>
      </c>
      <c r="X147" s="19">
        <f t="shared" si="14"/>
        <v>3055732.04708762</v>
      </c>
      <c r="Y147" s="19"/>
    </row>
    <row r="148" ht="14.25" customHeight="1" spans="1:25">
      <c r="A148" s="10" t="s">
        <v>170</v>
      </c>
      <c r="B148" s="11">
        <v>1.104</v>
      </c>
      <c r="C148" s="11">
        <v>1.052</v>
      </c>
      <c r="D148" s="11">
        <v>1</v>
      </c>
      <c r="E148" s="11">
        <v>217</v>
      </c>
      <c r="F148" s="11">
        <v>3</v>
      </c>
      <c r="G148" s="11">
        <v>4</v>
      </c>
      <c r="H148" s="5">
        <f t="shared" si="0"/>
        <v>217.051111111111</v>
      </c>
      <c r="I148" s="11">
        <v>95</v>
      </c>
      <c r="J148" s="11">
        <v>27</v>
      </c>
      <c r="K148" s="11">
        <v>15</v>
      </c>
      <c r="L148" s="5">
        <f t="shared" si="1"/>
        <v>95.4541666666667</v>
      </c>
      <c r="M148" s="5">
        <f t="shared" si="15"/>
        <v>10.3060422373638</v>
      </c>
      <c r="N148" s="5">
        <f t="shared" si="16"/>
        <v>-0.98403895769289</v>
      </c>
      <c r="O148">
        <v>1.39</v>
      </c>
      <c r="P148">
        <v>1516.161</v>
      </c>
      <c r="Q148" s="5">
        <f t="shared" si="17"/>
        <v>1515.51496104231</v>
      </c>
      <c r="S148" s="19"/>
      <c r="T148" s="19"/>
      <c r="U148" s="19">
        <v>269.9047222</v>
      </c>
      <c r="V148" s="19"/>
      <c r="W148" s="19">
        <f t="shared" si="13"/>
        <v>355614.954188992</v>
      </c>
      <c r="X148" s="19">
        <f t="shared" si="14"/>
        <v>3055734.94206355</v>
      </c>
      <c r="Y148" s="19"/>
    </row>
    <row r="149" ht="14.25" customHeight="1" spans="1:25">
      <c r="A149" s="10" t="s">
        <v>171</v>
      </c>
      <c r="B149" s="11">
        <v>1.082</v>
      </c>
      <c r="C149" s="11">
        <v>1.041</v>
      </c>
      <c r="D149" s="11">
        <v>1</v>
      </c>
      <c r="E149" s="11">
        <v>235</v>
      </c>
      <c r="F149" s="11">
        <v>48</v>
      </c>
      <c r="G149" s="11">
        <v>42</v>
      </c>
      <c r="H149" s="5">
        <f t="shared" si="0"/>
        <v>235.811666666667</v>
      </c>
      <c r="I149" s="11">
        <v>94</v>
      </c>
      <c r="J149" s="11">
        <v>23</v>
      </c>
      <c r="K149" s="11">
        <v>19</v>
      </c>
      <c r="L149" s="5">
        <f t="shared" si="1"/>
        <v>94.3886111111111</v>
      </c>
      <c r="M149" s="5">
        <f t="shared" si="15"/>
        <v>8.15198540203253</v>
      </c>
      <c r="N149" s="5">
        <f t="shared" si="16"/>
        <v>-0.625631122719525</v>
      </c>
      <c r="O149">
        <v>1.39</v>
      </c>
      <c r="P149">
        <v>1516.161</v>
      </c>
      <c r="Q149" s="5">
        <f t="shared" si="17"/>
        <v>1515.88436887728</v>
      </c>
      <c r="S149" s="19"/>
      <c r="T149" s="19"/>
      <c r="U149" s="19">
        <v>270.9047222</v>
      </c>
      <c r="V149" s="19"/>
      <c r="W149" s="19">
        <f t="shared" si="13"/>
        <v>355596.22273091</v>
      </c>
      <c r="X149" s="19">
        <f t="shared" si="14"/>
        <v>3055739.02640152</v>
      </c>
      <c r="Y149" s="19"/>
    </row>
    <row r="150" ht="14.25" customHeight="1" spans="1:25">
      <c r="A150" s="10" t="s">
        <v>172</v>
      </c>
      <c r="B150" s="11">
        <v>1.057</v>
      </c>
      <c r="C150" s="11">
        <v>1.029</v>
      </c>
      <c r="D150" s="11">
        <v>1</v>
      </c>
      <c r="E150" s="11">
        <v>213</v>
      </c>
      <c r="F150" s="11">
        <v>10</v>
      </c>
      <c r="G150" s="11">
        <v>14</v>
      </c>
      <c r="H150" s="5">
        <f t="shared" si="0"/>
        <v>213.170555555556</v>
      </c>
      <c r="I150" s="11">
        <v>98</v>
      </c>
      <c r="J150" s="11">
        <v>8</v>
      </c>
      <c r="K150" s="11">
        <v>28</v>
      </c>
      <c r="L150" s="5">
        <f t="shared" si="1"/>
        <v>98.1411111111111</v>
      </c>
      <c r="M150" s="5">
        <f t="shared" si="15"/>
        <v>5.58569314406299</v>
      </c>
      <c r="N150" s="5">
        <f t="shared" si="16"/>
        <v>-0.799051325965179</v>
      </c>
      <c r="O150">
        <v>1.39</v>
      </c>
      <c r="P150">
        <v>1516.161</v>
      </c>
      <c r="Q150" s="5">
        <f t="shared" si="17"/>
        <v>1515.72294867404</v>
      </c>
      <c r="S150" s="19"/>
      <c r="T150" s="19"/>
      <c r="U150" s="19">
        <v>271.9047222</v>
      </c>
      <c r="V150" s="19"/>
      <c r="W150" s="19">
        <f t="shared" si="13"/>
        <v>355618.952225451</v>
      </c>
      <c r="X150" s="19">
        <f t="shared" si="14"/>
        <v>3055742.38826732</v>
      </c>
      <c r="Y150" s="19"/>
    </row>
    <row r="151" ht="14.25" customHeight="1" spans="1:25">
      <c r="A151" s="10" t="s">
        <v>173</v>
      </c>
      <c r="B151" s="11">
        <v>1.043</v>
      </c>
      <c r="C151" s="11">
        <v>1.021</v>
      </c>
      <c r="D151" s="11">
        <v>1</v>
      </c>
      <c r="E151" s="11">
        <v>179</v>
      </c>
      <c r="F151" s="11">
        <v>16</v>
      </c>
      <c r="G151" s="11">
        <v>17</v>
      </c>
      <c r="H151" s="5">
        <f t="shared" si="0"/>
        <v>179.271388888889</v>
      </c>
      <c r="I151" s="11">
        <v>103</v>
      </c>
      <c r="J151" s="11">
        <v>2</v>
      </c>
      <c r="K151" s="11">
        <v>23</v>
      </c>
      <c r="L151" s="5">
        <f t="shared" si="1"/>
        <v>103.039722222222</v>
      </c>
      <c r="M151" s="5">
        <f t="shared" si="15"/>
        <v>4.08109850567246</v>
      </c>
      <c r="N151" s="5">
        <f t="shared" si="16"/>
        <v>-0.945176471030444</v>
      </c>
      <c r="O151">
        <v>1.39</v>
      </c>
      <c r="P151">
        <v>1516.161</v>
      </c>
      <c r="Q151" s="5">
        <f t="shared" si="17"/>
        <v>1515.58482352897</v>
      </c>
      <c r="S151" s="19"/>
      <c r="T151" s="19"/>
      <c r="U151" s="19">
        <v>272.9047222</v>
      </c>
      <c r="V151" s="19"/>
      <c r="W151" s="19">
        <f t="shared" si="13"/>
        <v>355652.963941861</v>
      </c>
      <c r="X151" s="19">
        <f t="shared" ref="X151:X182" si="18">$T$124+(H151*COS(U151*3.141592654/180))</f>
        <v>3055744.38762297</v>
      </c>
      <c r="Y151" s="19"/>
    </row>
    <row r="152" ht="14.25" customHeight="1" spans="1:25">
      <c r="A152" s="10" t="s">
        <v>174</v>
      </c>
      <c r="B152" s="11">
        <v>1.036</v>
      </c>
      <c r="C152" s="11">
        <v>1.018</v>
      </c>
      <c r="D152" s="11">
        <v>1</v>
      </c>
      <c r="E152" s="11">
        <v>111</v>
      </c>
      <c r="F152" s="11">
        <v>4</v>
      </c>
      <c r="G152" s="11">
        <v>47</v>
      </c>
      <c r="H152" s="5">
        <f t="shared" si="0"/>
        <v>111.079722222222</v>
      </c>
      <c r="I152" s="11">
        <v>107</v>
      </c>
      <c r="J152" s="11">
        <v>30</v>
      </c>
      <c r="K152" s="11">
        <v>8</v>
      </c>
      <c r="L152" s="5">
        <f t="shared" si="1"/>
        <v>107.502222222222</v>
      </c>
      <c r="M152" s="5">
        <f t="shared" si="15"/>
        <v>3.27439358890561</v>
      </c>
      <c r="N152" s="5">
        <f t="shared" si="16"/>
        <v>-1.03255195752759</v>
      </c>
      <c r="O152">
        <v>1.39</v>
      </c>
      <c r="P152">
        <v>1516.161</v>
      </c>
      <c r="Q152" s="5">
        <f t="shared" si="17"/>
        <v>1515.50044804247</v>
      </c>
      <c r="S152" s="19"/>
      <c r="T152" s="19"/>
      <c r="U152" s="19">
        <v>273.9047222</v>
      </c>
      <c r="V152" s="19"/>
      <c r="W152" s="19">
        <f t="shared" si="13"/>
        <v>355721.1831305</v>
      </c>
      <c r="X152" s="19">
        <f t="shared" si="18"/>
        <v>3055742.8672534</v>
      </c>
      <c r="Y152" s="19"/>
    </row>
    <row r="153" ht="14.25" customHeight="1" spans="1:25">
      <c r="A153" s="10" t="s">
        <v>175</v>
      </c>
      <c r="B153" s="11">
        <v>1.049</v>
      </c>
      <c r="C153" s="11">
        <v>1.024</v>
      </c>
      <c r="D153" s="11">
        <v>1</v>
      </c>
      <c r="E153" s="11">
        <v>244</v>
      </c>
      <c r="F153" s="11">
        <v>2</v>
      </c>
      <c r="G153" s="11">
        <v>33</v>
      </c>
      <c r="H153" s="5">
        <f t="shared" si="0"/>
        <v>244.0425</v>
      </c>
      <c r="I153" s="11">
        <v>94</v>
      </c>
      <c r="J153" s="11">
        <v>57</v>
      </c>
      <c r="K153" s="11">
        <v>37</v>
      </c>
      <c r="L153" s="5">
        <f t="shared" si="1"/>
        <v>94.9602777777778</v>
      </c>
      <c r="M153" s="5">
        <f t="shared" si="15"/>
        <v>4.86336657371964</v>
      </c>
      <c r="N153" s="5">
        <f t="shared" si="16"/>
        <v>-0.422092147347803</v>
      </c>
      <c r="O153">
        <v>1.39</v>
      </c>
      <c r="P153">
        <v>1516.161</v>
      </c>
      <c r="Q153" s="5">
        <f t="shared" si="17"/>
        <v>1516.10490785265</v>
      </c>
      <c r="S153" s="19"/>
      <c r="T153" s="19"/>
      <c r="U153" s="19">
        <v>274.9047222</v>
      </c>
      <c r="V153" s="19"/>
      <c r="W153" s="19">
        <f t="shared" si="13"/>
        <v>355588.856121925</v>
      </c>
      <c r="X153" s="19">
        <f t="shared" si="18"/>
        <v>3055756.16839952</v>
      </c>
      <c r="Y153" s="19"/>
    </row>
    <row r="154" ht="14.25" customHeight="1" spans="1:25">
      <c r="A154" s="10" t="s">
        <v>176</v>
      </c>
      <c r="B154" s="11">
        <v>1.072</v>
      </c>
      <c r="C154" s="11">
        <v>1.036</v>
      </c>
      <c r="D154" s="11">
        <v>1</v>
      </c>
      <c r="E154" s="11">
        <v>250</v>
      </c>
      <c r="F154" s="11">
        <v>32</v>
      </c>
      <c r="G154" s="11">
        <v>9</v>
      </c>
      <c r="H154" s="5">
        <f t="shared" si="0"/>
        <v>250.535833333333</v>
      </c>
      <c r="I154" s="11">
        <v>93</v>
      </c>
      <c r="J154" s="11">
        <v>18</v>
      </c>
      <c r="K154" s="11">
        <v>8</v>
      </c>
      <c r="L154" s="5">
        <f t="shared" si="1"/>
        <v>93.3022222222222</v>
      </c>
      <c r="M154" s="5">
        <f t="shared" si="15"/>
        <v>7.17610984889506</v>
      </c>
      <c r="N154" s="5">
        <f t="shared" si="16"/>
        <v>-0.414051142536525</v>
      </c>
      <c r="O154">
        <v>1.39</v>
      </c>
      <c r="P154">
        <v>1516.161</v>
      </c>
      <c r="Q154" s="5">
        <f t="shared" si="17"/>
        <v>1516.10094885746</v>
      </c>
      <c r="S154" s="19"/>
      <c r="T154" s="19"/>
      <c r="U154" s="19">
        <v>275.9047222</v>
      </c>
      <c r="V154" s="19"/>
      <c r="W154" s="19">
        <f t="shared" si="13"/>
        <v>355582.798424184</v>
      </c>
      <c r="X154" s="19">
        <f t="shared" si="18"/>
        <v>3055761.0767532</v>
      </c>
      <c r="Y154" s="19"/>
    </row>
    <row r="155" ht="14.25" customHeight="1" spans="1:25">
      <c r="A155" s="10" t="s">
        <v>177</v>
      </c>
      <c r="B155" s="11">
        <v>1.088</v>
      </c>
      <c r="C155" s="11">
        <v>1.043</v>
      </c>
      <c r="D155" s="11">
        <v>1</v>
      </c>
      <c r="E155" s="11">
        <v>252</v>
      </c>
      <c r="F155" s="11">
        <v>37</v>
      </c>
      <c r="G155" s="11">
        <v>4</v>
      </c>
      <c r="H155" s="5">
        <f t="shared" si="0"/>
        <v>252.617777777778</v>
      </c>
      <c r="I155" s="11">
        <v>93</v>
      </c>
      <c r="J155" s="11">
        <v>14</v>
      </c>
      <c r="K155" s="11">
        <v>48</v>
      </c>
      <c r="L155" s="5">
        <f t="shared" si="1"/>
        <v>93.2466666666667</v>
      </c>
      <c r="M155" s="5">
        <f t="shared" si="15"/>
        <v>8.77177409126843</v>
      </c>
      <c r="N155" s="5">
        <f t="shared" si="16"/>
        <v>-0.497585464934592</v>
      </c>
      <c r="O155">
        <v>1.39</v>
      </c>
      <c r="P155">
        <v>1516.161</v>
      </c>
      <c r="Q155" s="5">
        <f t="shared" si="17"/>
        <v>1516.01041453507</v>
      </c>
      <c r="S155" s="19"/>
      <c r="T155" s="19"/>
      <c r="U155" s="19">
        <v>276.9047222</v>
      </c>
      <c r="V155" s="19"/>
      <c r="W155" s="19">
        <f t="shared" si="13"/>
        <v>355581.219348558</v>
      </c>
      <c r="X155" s="19">
        <f t="shared" si="18"/>
        <v>3055765.67237075</v>
      </c>
      <c r="Y155" s="19"/>
    </row>
    <row r="156" ht="14.25" customHeight="1" spans="1:25">
      <c r="A156" s="10" t="s">
        <v>178</v>
      </c>
      <c r="B156" s="11">
        <v>1.105</v>
      </c>
      <c r="C156" s="11">
        <v>1.051</v>
      </c>
      <c r="D156" s="11">
        <v>1</v>
      </c>
      <c r="E156" s="11">
        <v>261</v>
      </c>
      <c r="F156" s="11">
        <v>38</v>
      </c>
      <c r="G156" s="11">
        <v>49</v>
      </c>
      <c r="H156" s="5">
        <f t="shared" si="0"/>
        <v>261.646944444444</v>
      </c>
      <c r="I156" s="11">
        <v>92</v>
      </c>
      <c r="J156" s="11">
        <v>27</v>
      </c>
      <c r="K156" s="11">
        <v>27</v>
      </c>
      <c r="L156" s="5">
        <f t="shared" si="1"/>
        <v>92.4575</v>
      </c>
      <c r="M156" s="5">
        <f t="shared" si="15"/>
        <v>10.480695224731</v>
      </c>
      <c r="N156" s="5">
        <f t="shared" si="16"/>
        <v>-0.44980825467782</v>
      </c>
      <c r="O156">
        <v>1.39</v>
      </c>
      <c r="P156">
        <v>1516.161</v>
      </c>
      <c r="Q156" s="5">
        <f t="shared" si="17"/>
        <v>1516.05019174532</v>
      </c>
      <c r="S156" s="19"/>
      <c r="T156" s="19"/>
      <c r="U156" s="19">
        <v>277.9047222</v>
      </c>
      <c r="V156" s="19"/>
      <c r="W156" s="19">
        <f t="shared" si="13"/>
        <v>355572.844190313</v>
      </c>
      <c r="X156" s="19">
        <f t="shared" si="18"/>
        <v>3055771.28630529</v>
      </c>
      <c r="Y156" s="19"/>
    </row>
    <row r="157" ht="14.25" customHeight="1" spans="1:25">
      <c r="A157" s="10" t="s">
        <v>179</v>
      </c>
      <c r="B157" s="11">
        <v>1.114</v>
      </c>
      <c r="C157" s="11">
        <v>1.056</v>
      </c>
      <c r="D157" s="11">
        <v>1</v>
      </c>
      <c r="E157" s="11">
        <v>270</v>
      </c>
      <c r="F157" s="11">
        <v>29</v>
      </c>
      <c r="G157" s="11">
        <v>24</v>
      </c>
      <c r="H157" s="5">
        <f t="shared" si="0"/>
        <v>270.49</v>
      </c>
      <c r="I157" s="11">
        <v>91</v>
      </c>
      <c r="J157" s="11">
        <v>49</v>
      </c>
      <c r="K157" s="11">
        <v>26</v>
      </c>
      <c r="L157" s="5">
        <f t="shared" si="1"/>
        <v>91.8238888888889</v>
      </c>
      <c r="M157" s="5">
        <f t="shared" si="15"/>
        <v>11.3884519237691</v>
      </c>
      <c r="N157" s="5">
        <f t="shared" si="16"/>
        <v>-0.362649570477653</v>
      </c>
      <c r="O157">
        <v>1.39</v>
      </c>
      <c r="P157">
        <v>1516.161</v>
      </c>
      <c r="Q157" s="5">
        <f t="shared" si="17"/>
        <v>1516.13235042952</v>
      </c>
      <c r="S157" s="19"/>
      <c r="T157" s="19"/>
      <c r="U157" s="19">
        <v>278.9047222</v>
      </c>
      <c r="V157" s="19"/>
      <c r="W157" s="19">
        <f t="shared" ref="W157:W188" si="19">$S$124+(H157*SIN(U157*3.141592654/180))</f>
        <v>355564.775185836</v>
      </c>
      <c r="X157" s="19">
        <f t="shared" si="18"/>
        <v>3055777.17263723</v>
      </c>
      <c r="Y157" s="19"/>
    </row>
    <row r="158" ht="14.25" customHeight="1" spans="1:25">
      <c r="A158" s="10" t="s">
        <v>180</v>
      </c>
      <c r="B158" s="11">
        <v>1.119</v>
      </c>
      <c r="C158" s="11">
        <v>1.059</v>
      </c>
      <c r="D158" s="11">
        <v>1</v>
      </c>
      <c r="E158" s="11">
        <v>305</v>
      </c>
      <c r="F158" s="11">
        <v>56</v>
      </c>
      <c r="G158" s="11">
        <v>50</v>
      </c>
      <c r="H158" s="5">
        <f t="shared" si="0"/>
        <v>305.947222222222</v>
      </c>
      <c r="I158" s="11">
        <v>88</v>
      </c>
      <c r="J158" s="11">
        <v>41</v>
      </c>
      <c r="K158" s="11">
        <v>31</v>
      </c>
      <c r="L158" s="5">
        <f t="shared" si="1"/>
        <v>88.6919444444444</v>
      </c>
      <c r="M158" s="5">
        <f t="shared" si="15"/>
        <v>11.8937987588148</v>
      </c>
      <c r="N158" s="5">
        <f t="shared" si="16"/>
        <v>0.271581138358347</v>
      </c>
      <c r="O158">
        <v>1.39</v>
      </c>
      <c r="P158">
        <v>1516.161</v>
      </c>
      <c r="Q158" s="5">
        <f t="shared" si="17"/>
        <v>1516.76358113836</v>
      </c>
      <c r="S158" s="19"/>
      <c r="T158" s="19"/>
      <c r="U158" s="19">
        <v>279.9047222</v>
      </c>
      <c r="V158" s="19"/>
      <c r="W158" s="19">
        <f t="shared" si="19"/>
        <v>355530.61787442</v>
      </c>
      <c r="X158" s="19">
        <f t="shared" si="18"/>
        <v>3055787.92907073</v>
      </c>
      <c r="Y158" s="19"/>
    </row>
    <row r="159" ht="14.25" customHeight="1" spans="1:25">
      <c r="A159" s="10" t="s">
        <v>181</v>
      </c>
      <c r="B159" s="11">
        <v>1.106</v>
      </c>
      <c r="C159" s="11">
        <v>1.051</v>
      </c>
      <c r="D159" s="11">
        <v>1</v>
      </c>
      <c r="E159" s="11">
        <v>310</v>
      </c>
      <c r="F159" s="11">
        <v>48</v>
      </c>
      <c r="G159" s="11">
        <v>17</v>
      </c>
      <c r="H159" s="5">
        <f t="shared" si="0"/>
        <v>310.804722222222</v>
      </c>
      <c r="I159" s="11">
        <v>88</v>
      </c>
      <c r="J159" s="11">
        <v>12</v>
      </c>
      <c r="K159" s="11">
        <v>43</v>
      </c>
      <c r="L159" s="5">
        <f t="shared" si="1"/>
        <v>88.2119444444444</v>
      </c>
      <c r="M159" s="5">
        <f t="shared" si="15"/>
        <v>10.589679954184</v>
      </c>
      <c r="N159" s="5">
        <f t="shared" si="16"/>
        <v>0.330584304382434</v>
      </c>
      <c r="O159">
        <v>1.39</v>
      </c>
      <c r="P159">
        <v>1516.161</v>
      </c>
      <c r="Q159" s="5">
        <f t="shared" si="17"/>
        <v>1516.83058430438</v>
      </c>
      <c r="S159" s="19"/>
      <c r="T159" s="19"/>
      <c r="U159" s="19">
        <v>280.9047222</v>
      </c>
      <c r="V159" s="19"/>
      <c r="W159" s="19">
        <f t="shared" si="19"/>
        <v>355526.812439988</v>
      </c>
      <c r="X159" s="19">
        <f t="shared" si="18"/>
        <v>3055794.09991037</v>
      </c>
      <c r="Y159" s="19"/>
    </row>
    <row r="160" ht="14.25" customHeight="1" spans="1:25">
      <c r="A160" s="10" t="s">
        <v>182</v>
      </c>
      <c r="B160" s="11">
        <v>1.092</v>
      </c>
      <c r="C160" s="11">
        <v>1.045</v>
      </c>
      <c r="D160" s="11">
        <v>1</v>
      </c>
      <c r="E160" s="11">
        <v>318</v>
      </c>
      <c r="F160" s="11">
        <v>42</v>
      </c>
      <c r="G160" s="11">
        <v>34</v>
      </c>
      <c r="H160" s="5">
        <f t="shared" si="0"/>
        <v>318.709444444444</v>
      </c>
      <c r="I160" s="11">
        <v>87</v>
      </c>
      <c r="J160" s="11">
        <v>31</v>
      </c>
      <c r="K160" s="11">
        <v>33</v>
      </c>
      <c r="L160" s="5">
        <f t="shared" si="1"/>
        <v>87.5258333333333</v>
      </c>
      <c r="M160" s="5">
        <f t="shared" si="15"/>
        <v>9.18285527578436</v>
      </c>
      <c r="N160" s="5">
        <f t="shared" si="16"/>
        <v>0.396783972982163</v>
      </c>
      <c r="O160">
        <v>1.39</v>
      </c>
      <c r="P160">
        <v>1516.161</v>
      </c>
      <c r="Q160" s="5">
        <f t="shared" si="17"/>
        <v>1516.90278397298</v>
      </c>
      <c r="S160" s="19"/>
      <c r="T160" s="19"/>
      <c r="U160" s="19">
        <v>281.9047222</v>
      </c>
      <c r="V160" s="19"/>
      <c r="W160" s="19">
        <f t="shared" si="19"/>
        <v>355520.150362518</v>
      </c>
      <c r="X160" s="19">
        <f t="shared" si="18"/>
        <v>3055801.04792421</v>
      </c>
      <c r="Y160" s="19"/>
    </row>
    <row r="161" ht="14.25" customHeight="1" spans="1:25">
      <c r="A161" s="10" t="s">
        <v>183</v>
      </c>
      <c r="B161" s="11">
        <v>1.085</v>
      </c>
      <c r="C161" s="11">
        <v>1.042</v>
      </c>
      <c r="D161" s="11">
        <v>1</v>
      </c>
      <c r="E161" s="11">
        <v>354</v>
      </c>
      <c r="F161" s="11">
        <v>37</v>
      </c>
      <c r="G161" s="11">
        <v>10</v>
      </c>
      <c r="H161" s="5">
        <f t="shared" si="0"/>
        <v>354.619444444444</v>
      </c>
      <c r="I161" s="11">
        <v>89</v>
      </c>
      <c r="J161" s="11">
        <v>16</v>
      </c>
      <c r="K161" s="11">
        <v>52</v>
      </c>
      <c r="L161" s="5">
        <f t="shared" si="1"/>
        <v>89.2811111111111</v>
      </c>
      <c r="M161" s="5">
        <f t="shared" si="15"/>
        <v>8.49866194361921</v>
      </c>
      <c r="N161" s="5">
        <f t="shared" si="16"/>
        <v>0.106638120959497</v>
      </c>
      <c r="O161">
        <v>1.39</v>
      </c>
      <c r="P161">
        <v>1516.161</v>
      </c>
      <c r="Q161" s="5">
        <f t="shared" si="17"/>
        <v>1516.61563812096</v>
      </c>
      <c r="S161" s="19"/>
      <c r="T161" s="19"/>
      <c r="U161" s="19">
        <v>282.9047222</v>
      </c>
      <c r="V161" s="19"/>
      <c r="W161" s="19">
        <f t="shared" si="19"/>
        <v>355486.342253007</v>
      </c>
      <c r="X161" s="19">
        <f t="shared" si="18"/>
        <v>3055814.50032141</v>
      </c>
      <c r="Y161" s="19"/>
    </row>
    <row r="162" ht="14.25" customHeight="1" spans="1:25">
      <c r="A162" s="10" t="s">
        <v>184</v>
      </c>
      <c r="B162" s="11">
        <v>1.14</v>
      </c>
      <c r="C162" s="11">
        <v>1.07</v>
      </c>
      <c r="D162" s="11">
        <v>1</v>
      </c>
      <c r="E162" s="11">
        <v>356</v>
      </c>
      <c r="F162" s="11">
        <v>34</v>
      </c>
      <c r="G162" s="11">
        <v>3</v>
      </c>
      <c r="H162" s="5">
        <f t="shared" si="0"/>
        <v>356.5675</v>
      </c>
      <c r="I162" s="11">
        <v>88</v>
      </c>
      <c r="J162" s="11">
        <v>48</v>
      </c>
      <c r="K162" s="11">
        <v>4</v>
      </c>
      <c r="L162" s="5">
        <f t="shared" si="1"/>
        <v>88.8011111111111</v>
      </c>
      <c r="M162" s="5">
        <f t="shared" si="15"/>
        <v>13.9938711744899</v>
      </c>
      <c r="N162" s="5">
        <f t="shared" si="16"/>
        <v>0.292858318370391</v>
      </c>
      <c r="O162">
        <v>1.39</v>
      </c>
      <c r="P162">
        <v>1516.161</v>
      </c>
      <c r="Q162" s="5">
        <f t="shared" si="17"/>
        <v>1516.77385831837</v>
      </c>
      <c r="S162" s="19"/>
      <c r="T162" s="19"/>
      <c r="U162" s="19">
        <v>283.9047222</v>
      </c>
      <c r="V162" s="19"/>
      <c r="W162" s="19">
        <f t="shared" si="19"/>
        <v>355485.886111901</v>
      </c>
      <c r="X162" s="19">
        <f t="shared" si="18"/>
        <v>3055820.98903946</v>
      </c>
      <c r="Y162" s="19"/>
    </row>
    <row r="163" ht="14.25" customHeight="1" spans="1:25">
      <c r="A163" s="10" t="s">
        <v>185</v>
      </c>
      <c r="B163" s="11">
        <v>1.161</v>
      </c>
      <c r="C163" s="11">
        <v>1.081</v>
      </c>
      <c r="D163" s="11">
        <v>1</v>
      </c>
      <c r="E163" s="11">
        <v>338</v>
      </c>
      <c r="F163" s="11">
        <v>55</v>
      </c>
      <c r="G163" s="11">
        <v>45</v>
      </c>
      <c r="H163" s="5">
        <f t="shared" si="0"/>
        <v>338.929166666667</v>
      </c>
      <c r="I163" s="11">
        <v>86</v>
      </c>
      <c r="J163" s="11">
        <v>13</v>
      </c>
      <c r="K163" s="11">
        <v>39</v>
      </c>
      <c r="L163" s="5">
        <f t="shared" si="1"/>
        <v>86.2275</v>
      </c>
      <c r="M163" s="5">
        <f t="shared" si="15"/>
        <v>16.0303034265579</v>
      </c>
      <c r="N163" s="5">
        <f t="shared" si="16"/>
        <v>1.05700388838817</v>
      </c>
      <c r="O163">
        <v>1.39</v>
      </c>
      <c r="P163">
        <v>1516.161</v>
      </c>
      <c r="Q163" s="5">
        <f t="shared" si="17"/>
        <v>1517.52700388839</v>
      </c>
      <c r="S163" s="19"/>
      <c r="T163" s="19"/>
      <c r="U163" s="19">
        <v>284.9047222</v>
      </c>
      <c r="V163" s="19"/>
      <c r="W163" s="19">
        <f t="shared" si="19"/>
        <v>355504.479144625</v>
      </c>
      <c r="X163" s="19">
        <f t="shared" si="18"/>
        <v>3055822.47979782</v>
      </c>
      <c r="Y163" s="19"/>
    </row>
    <row r="164" ht="14.25" customHeight="1" spans="1:25">
      <c r="A164" s="10" t="s">
        <v>186</v>
      </c>
      <c r="B164" s="11">
        <v>1.173</v>
      </c>
      <c r="C164" s="11">
        <v>1.087</v>
      </c>
      <c r="D164" s="11">
        <v>1</v>
      </c>
      <c r="E164" s="11">
        <v>333</v>
      </c>
      <c r="F164" s="11">
        <v>48</v>
      </c>
      <c r="G164" s="11">
        <v>18</v>
      </c>
      <c r="H164" s="5">
        <f t="shared" si="0"/>
        <v>333.805</v>
      </c>
      <c r="I164" s="11">
        <v>86</v>
      </c>
      <c r="J164" s="11">
        <v>27</v>
      </c>
      <c r="K164" s="11">
        <v>46</v>
      </c>
      <c r="L164" s="5">
        <f t="shared" si="1"/>
        <v>86.4627777777778</v>
      </c>
      <c r="M164" s="5">
        <f t="shared" si="15"/>
        <v>17.23414728157</v>
      </c>
      <c r="N164" s="5">
        <f t="shared" si="16"/>
        <v>1.06532410482146</v>
      </c>
      <c r="O164">
        <v>1.39</v>
      </c>
      <c r="P164">
        <v>1516.161</v>
      </c>
      <c r="Q164" s="5">
        <f t="shared" si="17"/>
        <v>1517.52932410482</v>
      </c>
      <c r="S164" s="19"/>
      <c r="T164" s="19"/>
      <c r="U164" s="19">
        <v>285.9047222</v>
      </c>
      <c r="V164" s="19"/>
      <c r="W164" s="19">
        <f t="shared" si="19"/>
        <v>355510.97848035</v>
      </c>
      <c r="X164" s="19">
        <f t="shared" si="18"/>
        <v>3055826.77841586</v>
      </c>
      <c r="Y164" s="19"/>
    </row>
    <row r="165" ht="14.25" customHeight="1" spans="1:25">
      <c r="A165" s="10" t="s">
        <v>187</v>
      </c>
      <c r="B165" s="11">
        <v>1.186</v>
      </c>
      <c r="C165" s="11">
        <v>1.093</v>
      </c>
      <c r="D165" s="11">
        <v>1</v>
      </c>
      <c r="E165" s="11">
        <v>330</v>
      </c>
      <c r="F165" s="11">
        <v>21</v>
      </c>
      <c r="G165" s="11">
        <v>56</v>
      </c>
      <c r="H165" s="5">
        <f t="shared" si="0"/>
        <v>330.365555555556</v>
      </c>
      <c r="I165" s="11">
        <v>86</v>
      </c>
      <c r="J165" s="11">
        <v>41</v>
      </c>
      <c r="K165" s="11">
        <v>8</v>
      </c>
      <c r="L165" s="5">
        <f t="shared" si="1"/>
        <v>86.6855555555556</v>
      </c>
      <c r="M165" s="5">
        <f t="shared" si="15"/>
        <v>18.5378265919472</v>
      </c>
      <c r="N165" s="5">
        <f t="shared" si="16"/>
        <v>1.07357340555444</v>
      </c>
      <c r="O165">
        <v>1.39</v>
      </c>
      <c r="P165">
        <v>1516.161</v>
      </c>
      <c r="Q165" s="5">
        <f t="shared" si="17"/>
        <v>1517.53157340555</v>
      </c>
      <c r="S165" s="19"/>
      <c r="T165" s="19"/>
      <c r="U165" s="19">
        <v>286.9047222</v>
      </c>
      <c r="V165" s="19"/>
      <c r="W165" s="19">
        <f t="shared" si="19"/>
        <v>355515.914665129</v>
      </c>
      <c r="X165" s="19">
        <f t="shared" si="18"/>
        <v>3055831.36704374</v>
      </c>
      <c r="Y165" s="19"/>
    </row>
    <row r="166" ht="14.25" customHeight="1" spans="1:25">
      <c r="A166" s="10" t="s">
        <v>188</v>
      </c>
      <c r="B166" s="11">
        <v>1.241</v>
      </c>
      <c r="C166" s="11">
        <v>1.121</v>
      </c>
      <c r="D166" s="11">
        <v>1</v>
      </c>
      <c r="E166" s="11">
        <v>336</v>
      </c>
      <c r="F166" s="11">
        <v>56</v>
      </c>
      <c r="G166" s="11">
        <v>39</v>
      </c>
      <c r="H166" s="5">
        <f t="shared" si="0"/>
        <v>336.944166666667</v>
      </c>
      <c r="I166" s="11">
        <v>86</v>
      </c>
      <c r="J166" s="11">
        <v>16</v>
      </c>
      <c r="K166" s="11">
        <v>38</v>
      </c>
      <c r="L166" s="5">
        <f t="shared" si="1"/>
        <v>86.2772222222222</v>
      </c>
      <c r="M166" s="5">
        <f t="shared" si="15"/>
        <v>23.9983997535331</v>
      </c>
      <c r="N166" s="5">
        <f t="shared" si="16"/>
        <v>1.56148753750079</v>
      </c>
      <c r="O166">
        <v>1.39</v>
      </c>
      <c r="P166">
        <v>1516.161</v>
      </c>
      <c r="Q166" s="5">
        <f t="shared" si="17"/>
        <v>1517.9914875375</v>
      </c>
      <c r="S166" s="19"/>
      <c r="T166" s="19"/>
      <c r="U166" s="19">
        <v>287.9047222</v>
      </c>
      <c r="V166" s="19"/>
      <c r="W166" s="19">
        <f t="shared" si="19"/>
        <v>355511.379353105</v>
      </c>
      <c r="X166" s="19">
        <f t="shared" si="18"/>
        <v>3055838.89144532</v>
      </c>
      <c r="Y166" s="19"/>
    </row>
    <row r="167" ht="14.25" customHeight="1" spans="1:25">
      <c r="A167" s="10" t="s">
        <v>189</v>
      </c>
      <c r="B167" s="11">
        <v>1.235</v>
      </c>
      <c r="C167" s="11">
        <v>1.118</v>
      </c>
      <c r="D167" s="11">
        <v>1</v>
      </c>
      <c r="E167" s="11">
        <v>340</v>
      </c>
      <c r="F167" s="11">
        <v>56</v>
      </c>
      <c r="G167" s="11">
        <v>50</v>
      </c>
      <c r="H167" s="5">
        <f t="shared" si="0"/>
        <v>340.947222222222</v>
      </c>
      <c r="I167" s="11">
        <v>85</v>
      </c>
      <c r="J167" s="11">
        <v>59</v>
      </c>
      <c r="K167" s="11">
        <v>48</v>
      </c>
      <c r="L167" s="5">
        <f t="shared" si="1"/>
        <v>85.9966666666667</v>
      </c>
      <c r="M167" s="5">
        <f t="shared" si="15"/>
        <v>23.385459455023</v>
      </c>
      <c r="N167" s="5">
        <f t="shared" si="16"/>
        <v>1.63663779453972</v>
      </c>
      <c r="O167">
        <v>1.39</v>
      </c>
      <c r="P167">
        <v>1516.161</v>
      </c>
      <c r="Q167" s="5">
        <f t="shared" si="17"/>
        <v>1518.06963779454</v>
      </c>
      <c r="S167" s="19"/>
      <c r="T167" s="19"/>
      <c r="U167" s="19">
        <v>288.9047222</v>
      </c>
      <c r="V167" s="19"/>
      <c r="W167" s="19">
        <f t="shared" si="19"/>
        <v>355509.448928224</v>
      </c>
      <c r="X167" s="19">
        <f t="shared" si="18"/>
        <v>3055845.76832896</v>
      </c>
      <c r="Y167" s="19"/>
    </row>
    <row r="168" ht="14.25" customHeight="1" spans="1:25">
      <c r="A168" s="10" t="s">
        <v>190</v>
      </c>
      <c r="B168" s="11">
        <v>1.931</v>
      </c>
      <c r="C168" s="11">
        <v>1.815</v>
      </c>
      <c r="D168" s="11">
        <v>1.7</v>
      </c>
      <c r="E168" s="11">
        <v>345</v>
      </c>
      <c r="F168" s="11">
        <v>3</v>
      </c>
      <c r="G168" s="11">
        <v>15</v>
      </c>
      <c r="H168" s="5">
        <f t="shared" si="0"/>
        <v>345.054166666667</v>
      </c>
      <c r="I168" s="11">
        <v>84</v>
      </c>
      <c r="J168" s="11">
        <v>7</v>
      </c>
      <c r="K168" s="11">
        <v>12</v>
      </c>
      <c r="L168" s="5">
        <f t="shared" si="1"/>
        <v>84.12</v>
      </c>
      <c r="M168" s="5">
        <f t="shared" si="15"/>
        <v>22.8575645226682</v>
      </c>
      <c r="N168" s="5">
        <f t="shared" si="16"/>
        <v>2.35403580382607</v>
      </c>
      <c r="O168">
        <v>1.39</v>
      </c>
      <c r="P168">
        <v>1516.161</v>
      </c>
      <c r="Q168" s="5">
        <f t="shared" si="17"/>
        <v>1518.09003580383</v>
      </c>
      <c r="S168" s="19"/>
      <c r="T168" s="19"/>
      <c r="U168" s="19">
        <v>289.9047222</v>
      </c>
      <c r="V168" s="19"/>
      <c r="W168" s="19">
        <f t="shared" si="19"/>
        <v>355507.564345023</v>
      </c>
      <c r="X168" s="19">
        <f t="shared" si="18"/>
        <v>3055852.77912239</v>
      </c>
      <c r="Y168" s="19"/>
    </row>
    <row r="169" ht="14.25" customHeight="1" spans="1:25">
      <c r="A169" s="10" t="s">
        <v>191</v>
      </c>
      <c r="B169" s="11">
        <v>1.927</v>
      </c>
      <c r="C169" s="11">
        <v>1.813</v>
      </c>
      <c r="D169" s="11">
        <v>1.7</v>
      </c>
      <c r="E169" s="11">
        <v>352</v>
      </c>
      <c r="F169" s="11">
        <v>52</v>
      </c>
      <c r="G169" s="11">
        <v>0</v>
      </c>
      <c r="H169" s="5">
        <f t="shared" si="0"/>
        <v>352.866666666667</v>
      </c>
      <c r="I169" s="11">
        <v>85</v>
      </c>
      <c r="J169" s="11">
        <v>25</v>
      </c>
      <c r="K169" s="11">
        <v>54</v>
      </c>
      <c r="L169" s="5">
        <f t="shared" si="1"/>
        <v>85.4316666666667</v>
      </c>
      <c r="M169" s="5">
        <f t="shared" si="15"/>
        <v>22.555995634075</v>
      </c>
      <c r="N169" s="5">
        <f t="shared" si="16"/>
        <v>1.80226575429181</v>
      </c>
      <c r="O169">
        <v>1.39</v>
      </c>
      <c r="P169">
        <v>1516.161</v>
      </c>
      <c r="Q169" s="5">
        <f t="shared" si="17"/>
        <v>1517.54026575429</v>
      </c>
      <c r="S169" s="19"/>
      <c r="T169" s="19"/>
      <c r="U169" s="19">
        <v>290.9047222</v>
      </c>
      <c r="V169" s="19"/>
      <c r="W169" s="19">
        <f t="shared" si="19"/>
        <v>355502.365757213</v>
      </c>
      <c r="X169" s="19">
        <f t="shared" si="18"/>
        <v>3055861.21111753</v>
      </c>
      <c r="Y169" s="19"/>
    </row>
    <row r="170" ht="14.25" customHeight="1" spans="1:25">
      <c r="A170" s="10" t="s">
        <v>192</v>
      </c>
      <c r="B170" s="11">
        <v>1.696</v>
      </c>
      <c r="C170" s="11">
        <v>1.548</v>
      </c>
      <c r="D170" s="11">
        <v>1.4</v>
      </c>
      <c r="E170" s="11">
        <v>353</v>
      </c>
      <c r="F170" s="11">
        <v>41</v>
      </c>
      <c r="G170" s="11">
        <v>11</v>
      </c>
      <c r="H170" s="5">
        <f t="shared" si="0"/>
        <v>353.686388888889</v>
      </c>
      <c r="I170" s="11">
        <v>85</v>
      </c>
      <c r="J170" s="11">
        <v>30</v>
      </c>
      <c r="K170" s="11">
        <v>57</v>
      </c>
      <c r="L170" s="5">
        <f t="shared" si="1"/>
        <v>85.5158333333333</v>
      </c>
      <c r="M170" s="5">
        <f t="shared" si="15"/>
        <v>29.4190648070917</v>
      </c>
      <c r="N170" s="5">
        <f t="shared" si="16"/>
        <v>2.30715065959121</v>
      </c>
      <c r="O170">
        <v>1.39</v>
      </c>
      <c r="P170">
        <v>1516.161</v>
      </c>
      <c r="Q170" s="5">
        <f t="shared" si="17"/>
        <v>1518.31015065959</v>
      </c>
      <c r="S170" s="19"/>
      <c r="T170" s="19"/>
      <c r="U170" s="19">
        <v>291.9047222</v>
      </c>
      <c r="V170" s="19"/>
      <c r="W170" s="19">
        <f t="shared" si="19"/>
        <v>355503.852819713</v>
      </c>
      <c r="X170" s="19">
        <f t="shared" si="18"/>
        <v>3055867.25074821</v>
      </c>
      <c r="Y170" s="19"/>
    </row>
    <row r="171" ht="14.25" customHeight="1" spans="1:25">
      <c r="A171" s="10" t="s">
        <v>193</v>
      </c>
      <c r="B171" s="11">
        <v>1.293</v>
      </c>
      <c r="C171" s="11">
        <v>1.148</v>
      </c>
      <c r="D171" s="11">
        <v>1</v>
      </c>
      <c r="E171" s="11">
        <v>347</v>
      </c>
      <c r="F171" s="11">
        <v>31</v>
      </c>
      <c r="G171" s="11">
        <v>2</v>
      </c>
      <c r="H171" s="5">
        <f t="shared" si="0"/>
        <v>347.517222222222</v>
      </c>
      <c r="I171" s="11">
        <v>85</v>
      </c>
      <c r="J171" s="11">
        <v>30</v>
      </c>
      <c r="K171" s="11">
        <v>57</v>
      </c>
      <c r="L171" s="5">
        <f t="shared" si="1"/>
        <v>85.5158333333333</v>
      </c>
      <c r="M171" s="5">
        <f t="shared" si="15"/>
        <v>29.1208986097225</v>
      </c>
      <c r="N171" s="5">
        <f t="shared" si="16"/>
        <v>2.28376737587913</v>
      </c>
      <c r="O171">
        <v>1.39</v>
      </c>
      <c r="P171">
        <v>1516.161</v>
      </c>
      <c r="Q171" s="5">
        <f t="shared" si="17"/>
        <v>1518.68676737588</v>
      </c>
      <c r="S171" s="19"/>
      <c r="T171" s="19"/>
      <c r="U171" s="19">
        <v>292.9047222</v>
      </c>
      <c r="V171" s="19"/>
      <c r="W171" s="19">
        <f t="shared" si="19"/>
        <v>355511.888353037</v>
      </c>
      <c r="X171" s="19">
        <f t="shared" si="18"/>
        <v>3055870.55665828</v>
      </c>
      <c r="Y171" s="19"/>
    </row>
    <row r="172" ht="14.25" customHeight="1" spans="1:25">
      <c r="A172" s="10" t="s">
        <v>194</v>
      </c>
      <c r="B172" s="11">
        <v>1.98</v>
      </c>
      <c r="C172" s="11">
        <v>1.84</v>
      </c>
      <c r="D172" s="11">
        <v>1.7</v>
      </c>
      <c r="E172" s="11">
        <v>344</v>
      </c>
      <c r="F172" s="11">
        <v>34</v>
      </c>
      <c r="G172" s="11">
        <v>28</v>
      </c>
      <c r="H172" s="5">
        <f t="shared" si="0"/>
        <v>344.574444444444</v>
      </c>
      <c r="I172" s="11">
        <v>84</v>
      </c>
      <c r="J172" s="11">
        <v>17</v>
      </c>
      <c r="K172" s="11">
        <v>56</v>
      </c>
      <c r="L172" s="5">
        <f t="shared" si="1"/>
        <v>84.2988888888889</v>
      </c>
      <c r="M172" s="5">
        <f t="shared" si="15"/>
        <v>27.7236891081612</v>
      </c>
      <c r="N172" s="5">
        <f t="shared" si="16"/>
        <v>2.76773504196816</v>
      </c>
      <c r="O172">
        <v>1.39</v>
      </c>
      <c r="P172">
        <v>1516.161</v>
      </c>
      <c r="Q172" s="5">
        <f t="shared" si="17"/>
        <v>1518.47873504197</v>
      </c>
      <c r="S172" s="19"/>
      <c r="T172" s="19"/>
      <c r="U172" s="19">
        <v>293.9047222</v>
      </c>
      <c r="V172" s="19"/>
      <c r="W172" s="19">
        <f t="shared" si="19"/>
        <v>355516.98795812</v>
      </c>
      <c r="X172" s="19">
        <f t="shared" si="18"/>
        <v>3055874.93040093</v>
      </c>
      <c r="Y172" s="19"/>
    </row>
    <row r="173" ht="14.25" customHeight="1" spans="1:25">
      <c r="A173" s="10" t="s">
        <v>195</v>
      </c>
      <c r="B173" s="11">
        <v>1.31</v>
      </c>
      <c r="C173" s="11">
        <v>1.154</v>
      </c>
      <c r="D173" s="11">
        <v>1</v>
      </c>
      <c r="E173" s="11">
        <v>341</v>
      </c>
      <c r="F173" s="11">
        <v>48</v>
      </c>
      <c r="G173" s="11">
        <v>11</v>
      </c>
      <c r="H173" s="5">
        <f t="shared" si="0"/>
        <v>341.803055555556</v>
      </c>
      <c r="I173" s="11">
        <v>85</v>
      </c>
      <c r="J173" s="11">
        <v>44</v>
      </c>
      <c r="K173" s="11">
        <v>48</v>
      </c>
      <c r="L173" s="5">
        <f t="shared" si="1"/>
        <v>85.7466666666667</v>
      </c>
      <c r="M173" s="5">
        <f t="shared" si="15"/>
        <v>30.8294792030471</v>
      </c>
      <c r="N173" s="5">
        <f t="shared" si="16"/>
        <v>2.2928295539238</v>
      </c>
      <c r="O173">
        <v>1.39</v>
      </c>
      <c r="P173">
        <v>1516.161</v>
      </c>
      <c r="Q173" s="5">
        <f t="shared" si="17"/>
        <v>1518.68982955392</v>
      </c>
      <c r="S173" s="19"/>
      <c r="T173" s="19"/>
      <c r="U173" s="19">
        <v>294.9047222</v>
      </c>
      <c r="V173" s="19"/>
      <c r="W173" s="19">
        <f t="shared" si="19"/>
        <v>355521.986446416</v>
      </c>
      <c r="X173" s="19">
        <f t="shared" si="18"/>
        <v>3055879.23987929</v>
      </c>
      <c r="Y173" s="19"/>
    </row>
    <row r="174" ht="14.25" customHeight="1" spans="1:25">
      <c r="A174" s="10" t="s">
        <v>196</v>
      </c>
      <c r="B174" s="11">
        <v>1.295</v>
      </c>
      <c r="C174" s="11">
        <v>1.148</v>
      </c>
      <c r="D174" s="11">
        <v>1</v>
      </c>
      <c r="E174" s="11">
        <v>306</v>
      </c>
      <c r="F174" s="11">
        <v>32</v>
      </c>
      <c r="G174" s="11">
        <v>12</v>
      </c>
      <c r="H174" s="20">
        <f t="shared" si="0"/>
        <v>306.536666666667</v>
      </c>
      <c r="I174" s="21">
        <v>88</v>
      </c>
      <c r="J174" s="21">
        <v>54</v>
      </c>
      <c r="K174" s="21">
        <v>54</v>
      </c>
      <c r="L174" s="20">
        <f t="shared" si="1"/>
        <v>88.915</v>
      </c>
      <c r="M174" s="20">
        <f t="shared" si="15"/>
        <v>29.4894224688304</v>
      </c>
      <c r="N174" s="20">
        <f t="shared" si="16"/>
        <v>0.558502717394192</v>
      </c>
      <c r="O174" s="22">
        <v>1.39</v>
      </c>
      <c r="P174" s="22">
        <v>1516.161</v>
      </c>
      <c r="Q174" s="20">
        <f t="shared" si="17"/>
        <v>1516.96150271739</v>
      </c>
      <c r="R174" s="24"/>
      <c r="S174" s="19"/>
      <c r="T174" s="19"/>
      <c r="U174" s="19">
        <v>295.9047222</v>
      </c>
      <c r="V174" s="19"/>
      <c r="W174" s="19">
        <f t="shared" si="19"/>
        <v>355556.268593405</v>
      </c>
      <c r="X174" s="19">
        <f t="shared" si="18"/>
        <v>3055869.22149047</v>
      </c>
      <c r="Y174" s="19"/>
    </row>
    <row r="175" ht="14.25" customHeight="1" spans="1:25">
      <c r="A175" s="10" t="s">
        <v>197</v>
      </c>
      <c r="B175" s="11">
        <v>1.538</v>
      </c>
      <c r="C175" s="11">
        <v>1.369</v>
      </c>
      <c r="D175" s="11">
        <v>1.2</v>
      </c>
      <c r="E175" s="11">
        <v>318</v>
      </c>
      <c r="F175" s="11">
        <v>24</v>
      </c>
      <c r="G175" s="11">
        <v>35</v>
      </c>
      <c r="H175" s="5">
        <f t="shared" si="0"/>
        <v>318.409722222222</v>
      </c>
      <c r="I175" s="11">
        <v>88</v>
      </c>
      <c r="J175" s="11">
        <v>38</v>
      </c>
      <c r="K175" s="11">
        <v>43</v>
      </c>
      <c r="L175" s="5">
        <f t="shared" si="1"/>
        <v>88.6452777777778</v>
      </c>
      <c r="M175" s="5">
        <f t="shared" si="15"/>
        <v>33.7811074312205</v>
      </c>
      <c r="N175" s="5">
        <f t="shared" si="16"/>
        <v>0.798881653057497</v>
      </c>
      <c r="O175" s="23">
        <v>1.39</v>
      </c>
      <c r="P175" s="23">
        <v>1516.161</v>
      </c>
      <c r="Q175" s="5">
        <f t="shared" si="17"/>
        <v>1516.98088165306</v>
      </c>
      <c r="S175" s="19"/>
      <c r="T175" s="19"/>
      <c r="U175" s="19">
        <v>296.9047222</v>
      </c>
      <c r="V175" s="19"/>
      <c r="W175" s="19">
        <f t="shared" si="19"/>
        <v>355548.059870478</v>
      </c>
      <c r="X175" s="19">
        <f t="shared" si="18"/>
        <v>3055879.38601297</v>
      </c>
      <c r="Y175" s="19"/>
    </row>
    <row r="176" ht="14.25" customHeight="1" spans="1:25">
      <c r="A176" s="10" t="s">
        <v>198</v>
      </c>
      <c r="B176" s="11">
        <v>1.61</v>
      </c>
      <c r="C176" s="11">
        <v>1.455</v>
      </c>
      <c r="D176" s="11">
        <v>1.3</v>
      </c>
      <c r="E176" s="11">
        <v>327</v>
      </c>
      <c r="F176" s="11">
        <v>21</v>
      </c>
      <c r="G176" s="11">
        <v>56</v>
      </c>
      <c r="H176" s="5">
        <f t="shared" si="0"/>
        <v>327.365555555556</v>
      </c>
      <c r="I176" s="11">
        <v>88</v>
      </c>
      <c r="J176" s="11">
        <v>27</v>
      </c>
      <c r="K176" s="11">
        <v>28</v>
      </c>
      <c r="L176" s="5">
        <f t="shared" si="1"/>
        <v>88.4577777777778</v>
      </c>
      <c r="M176" s="5">
        <f t="shared" si="15"/>
        <v>30.9775453931658</v>
      </c>
      <c r="N176" s="5">
        <f t="shared" si="16"/>
        <v>0.834019545629687</v>
      </c>
      <c r="O176" s="23">
        <v>1.39</v>
      </c>
      <c r="P176" s="23">
        <v>1516.161</v>
      </c>
      <c r="Q176" s="5">
        <f t="shared" si="17"/>
        <v>1516.93001954563</v>
      </c>
      <c r="S176" s="19"/>
      <c r="T176" s="19"/>
      <c r="U176" s="19">
        <v>297.9047222</v>
      </c>
      <c r="V176" s="19"/>
      <c r="W176" s="19">
        <f t="shared" si="19"/>
        <v>355542.70319973</v>
      </c>
      <c r="X176" s="19">
        <f t="shared" si="18"/>
        <v>3055888.51094798</v>
      </c>
      <c r="Y176" s="19"/>
    </row>
    <row r="177" ht="14.25" customHeight="1" spans="1:25">
      <c r="A177" s="10" t="s">
        <v>199</v>
      </c>
      <c r="B177" s="11">
        <v>1.465</v>
      </c>
      <c r="C177" s="11">
        <v>1.332</v>
      </c>
      <c r="D177" s="11">
        <v>1.2</v>
      </c>
      <c r="E177" s="11">
        <v>320</v>
      </c>
      <c r="F177" s="11">
        <v>12</v>
      </c>
      <c r="G177" s="11">
        <v>44</v>
      </c>
      <c r="H177" s="5">
        <f t="shared" si="0"/>
        <v>320.212222222222</v>
      </c>
      <c r="I177" s="11">
        <v>88</v>
      </c>
      <c r="J177" s="11">
        <v>22</v>
      </c>
      <c r="K177" s="11">
        <v>38</v>
      </c>
      <c r="L177" s="5">
        <f t="shared" si="1"/>
        <v>88.3772222222222</v>
      </c>
      <c r="M177" s="5">
        <f t="shared" si="15"/>
        <v>26.4787478642162</v>
      </c>
      <c r="N177" s="5">
        <f t="shared" si="16"/>
        <v>0.750153281000907</v>
      </c>
      <c r="O177" s="23">
        <v>1.39</v>
      </c>
      <c r="P177" s="23">
        <v>1516.161</v>
      </c>
      <c r="Q177" s="5">
        <f t="shared" si="17"/>
        <v>1516.969153281</v>
      </c>
      <c r="S177" s="19"/>
      <c r="T177" s="19"/>
      <c r="U177" s="19">
        <v>298.9047222</v>
      </c>
      <c r="V177" s="19"/>
      <c r="W177" s="19">
        <f t="shared" si="19"/>
        <v>355551.683313807</v>
      </c>
      <c r="X177" s="19">
        <f t="shared" si="18"/>
        <v>3055890.07903015</v>
      </c>
      <c r="Y177" s="19"/>
    </row>
    <row r="178" ht="14.25" customHeight="1" spans="1:25">
      <c r="A178" s="10" t="s">
        <v>200</v>
      </c>
      <c r="B178" s="11">
        <v>1.247</v>
      </c>
      <c r="C178" s="11">
        <v>1.122</v>
      </c>
      <c r="D178" s="11">
        <v>1</v>
      </c>
      <c r="E178" s="11">
        <v>312</v>
      </c>
      <c r="F178" s="11">
        <v>43</v>
      </c>
      <c r="G178" s="11">
        <v>42</v>
      </c>
      <c r="H178" s="5">
        <f t="shared" si="0"/>
        <v>312.728333333333</v>
      </c>
      <c r="I178" s="11">
        <v>88</v>
      </c>
      <c r="J178" s="11">
        <v>44</v>
      </c>
      <c r="K178" s="11">
        <v>12</v>
      </c>
      <c r="L178" s="5">
        <f t="shared" si="1"/>
        <v>88.7366666666667</v>
      </c>
      <c r="M178" s="5">
        <f t="shared" si="15"/>
        <v>24.6879934781078</v>
      </c>
      <c r="N178" s="5">
        <f t="shared" si="16"/>
        <v>0.544441855636422</v>
      </c>
      <c r="O178" s="23">
        <v>1.39</v>
      </c>
      <c r="P178" s="23">
        <v>1516.161</v>
      </c>
      <c r="Q178" s="5">
        <f t="shared" si="17"/>
        <v>1516.97344185564</v>
      </c>
      <c r="S178" s="19"/>
      <c r="T178" s="19"/>
      <c r="U178" s="19">
        <v>299.9047222</v>
      </c>
      <c r="V178" s="19"/>
      <c r="W178" s="19">
        <f t="shared" si="19"/>
        <v>355560.914673795</v>
      </c>
      <c r="X178" s="19">
        <f t="shared" si="18"/>
        <v>3055891.21658346</v>
      </c>
      <c r="Y178" s="19"/>
    </row>
    <row r="179" ht="14.25" customHeight="1" spans="1:25">
      <c r="A179" s="10" t="s">
        <v>201</v>
      </c>
      <c r="B179" s="11">
        <v>1.269</v>
      </c>
      <c r="C179" s="11">
        <v>1.135</v>
      </c>
      <c r="D179" s="11">
        <v>1</v>
      </c>
      <c r="E179" s="11">
        <v>303</v>
      </c>
      <c r="F179" s="11">
        <v>41</v>
      </c>
      <c r="G179" s="11">
        <v>46</v>
      </c>
      <c r="H179" s="5">
        <f t="shared" si="0"/>
        <v>303.696111111111</v>
      </c>
      <c r="I179" s="11">
        <v>88</v>
      </c>
      <c r="J179" s="11">
        <v>54</v>
      </c>
      <c r="K179" s="11">
        <v>47</v>
      </c>
      <c r="L179" s="5">
        <f t="shared" si="1"/>
        <v>88.9130555555556</v>
      </c>
      <c r="M179" s="5">
        <f t="shared" si="15"/>
        <v>26.8903201281132</v>
      </c>
      <c r="N179" s="5">
        <f t="shared" si="16"/>
        <v>0.510190997406697</v>
      </c>
      <c r="O179" s="23">
        <v>1.39</v>
      </c>
      <c r="P179" s="23">
        <v>1516.161</v>
      </c>
      <c r="Q179" s="5">
        <f t="shared" si="17"/>
        <v>1516.92619099741</v>
      </c>
      <c r="S179" s="19"/>
      <c r="T179" s="19"/>
      <c r="U179" s="19">
        <v>300.9047222</v>
      </c>
      <c r="V179" s="19"/>
      <c r="W179" s="19">
        <f t="shared" si="19"/>
        <v>355571.426879984</v>
      </c>
      <c r="X179" s="19">
        <f t="shared" si="18"/>
        <v>3055891.28495816</v>
      </c>
      <c r="Y179" s="19"/>
    </row>
    <row r="180" ht="14.25" customHeight="1" spans="1:25">
      <c r="A180" s="10" t="s">
        <v>202</v>
      </c>
      <c r="B180" s="11">
        <v>1.325</v>
      </c>
      <c r="C180" s="11">
        <v>1.162</v>
      </c>
      <c r="D180" s="11">
        <v>1</v>
      </c>
      <c r="E180" s="11">
        <v>301</v>
      </c>
      <c r="F180" s="11">
        <v>22</v>
      </c>
      <c r="G180" s="11">
        <v>46</v>
      </c>
      <c r="H180" s="5">
        <f t="shared" si="0"/>
        <v>301.379444444444</v>
      </c>
      <c r="I180" s="11">
        <v>88</v>
      </c>
      <c r="J180" s="11">
        <v>1</v>
      </c>
      <c r="K180" s="11">
        <v>42</v>
      </c>
      <c r="L180" s="5">
        <f t="shared" si="1"/>
        <v>88.0283333333333</v>
      </c>
      <c r="M180" s="5">
        <f t="shared" si="15"/>
        <v>32.4615289846436</v>
      </c>
      <c r="N180" s="5">
        <f t="shared" si="16"/>
        <v>1.1175097225791</v>
      </c>
      <c r="O180" s="23">
        <v>1.39</v>
      </c>
      <c r="P180" s="23">
        <v>1516.161</v>
      </c>
      <c r="Q180" s="5">
        <f t="shared" si="17"/>
        <v>1517.50650972258</v>
      </c>
      <c r="S180" s="19"/>
      <c r="T180" s="19"/>
      <c r="U180" s="19">
        <v>301.9047222</v>
      </c>
      <c r="V180" s="19"/>
      <c r="W180" s="19">
        <f t="shared" si="19"/>
        <v>355576.15551133</v>
      </c>
      <c r="X180" s="19">
        <f t="shared" si="18"/>
        <v>3055894.58453905</v>
      </c>
      <c r="Y180" s="19"/>
    </row>
    <row r="181" ht="14.25" customHeight="1" spans="1:25">
      <c r="A181" s="10" t="s">
        <v>203</v>
      </c>
      <c r="B181" s="11">
        <v>1.362</v>
      </c>
      <c r="C181" s="11">
        <v>1.181</v>
      </c>
      <c r="D181" s="11">
        <v>1</v>
      </c>
      <c r="E181" s="11">
        <v>294</v>
      </c>
      <c r="F181" s="12">
        <v>22</v>
      </c>
      <c r="G181" s="12">
        <v>46</v>
      </c>
      <c r="H181" s="5">
        <f t="shared" si="0"/>
        <v>294.379444444444</v>
      </c>
      <c r="I181" s="11">
        <v>89</v>
      </c>
      <c r="J181" s="11">
        <v>21</v>
      </c>
      <c r="K181" s="11">
        <v>39</v>
      </c>
      <c r="L181" s="5">
        <f t="shared" si="1"/>
        <v>89.3608333333333</v>
      </c>
      <c r="M181" s="5">
        <f t="shared" si="15"/>
        <v>36.1954952206248</v>
      </c>
      <c r="N181" s="5">
        <f t="shared" si="16"/>
        <v>0.403797870655631</v>
      </c>
      <c r="O181" s="23">
        <v>1.39</v>
      </c>
      <c r="P181" s="23">
        <v>1516.161</v>
      </c>
      <c r="Q181" s="5">
        <f t="shared" si="17"/>
        <v>1516.77379787066</v>
      </c>
      <c r="S181" s="19"/>
      <c r="T181" s="19"/>
      <c r="U181" s="19">
        <v>302.9047222</v>
      </c>
      <c r="V181" s="19"/>
      <c r="W181" s="19">
        <f t="shared" si="19"/>
        <v>355584.851350262</v>
      </c>
      <c r="X181" s="19">
        <f t="shared" si="18"/>
        <v>3055895.22276342</v>
      </c>
      <c r="Y181" s="19"/>
    </row>
    <row r="182" ht="14.25" customHeight="1" spans="1:25">
      <c r="A182" s="10" t="s">
        <v>204</v>
      </c>
      <c r="B182" s="11">
        <v>1.345</v>
      </c>
      <c r="C182" s="11">
        <v>1.172</v>
      </c>
      <c r="D182" s="11">
        <v>1</v>
      </c>
      <c r="E182" s="11">
        <v>274</v>
      </c>
      <c r="F182" s="11">
        <v>55</v>
      </c>
      <c r="G182" s="11">
        <v>35</v>
      </c>
      <c r="H182" s="5">
        <f t="shared" si="0"/>
        <v>274.926388888889</v>
      </c>
      <c r="I182" s="11">
        <v>89</v>
      </c>
      <c r="J182" s="11">
        <v>7</v>
      </c>
      <c r="K182" s="11">
        <v>57</v>
      </c>
      <c r="L182" s="5">
        <f t="shared" si="1"/>
        <v>89.1325</v>
      </c>
      <c r="M182" s="5">
        <f t="shared" si="15"/>
        <v>34.4920917641893</v>
      </c>
      <c r="N182" s="5">
        <f t="shared" si="16"/>
        <v>0.522275401750867</v>
      </c>
      <c r="O182" s="23">
        <v>1.39</v>
      </c>
      <c r="P182" s="23">
        <v>1516.161</v>
      </c>
      <c r="Q182" s="5">
        <f t="shared" si="17"/>
        <v>1516.90127540175</v>
      </c>
      <c r="S182" s="19"/>
      <c r="T182" s="19"/>
      <c r="U182" s="19">
        <v>303.9047222</v>
      </c>
      <c r="V182" s="19"/>
      <c r="W182" s="19">
        <f t="shared" si="19"/>
        <v>355603.825358478</v>
      </c>
      <c r="X182" s="19">
        <f t="shared" si="18"/>
        <v>3055888.66065551</v>
      </c>
      <c r="Y182" s="19"/>
    </row>
    <row r="183" ht="14.25" customHeight="1" spans="1:25">
      <c r="A183" s="10" t="s">
        <v>205</v>
      </c>
      <c r="B183" s="11">
        <v>1.282</v>
      </c>
      <c r="C183" s="11">
        <v>1.141</v>
      </c>
      <c r="D183" s="11">
        <v>1</v>
      </c>
      <c r="E183" s="11">
        <v>290</v>
      </c>
      <c r="F183" s="11">
        <v>44</v>
      </c>
      <c r="G183" s="11">
        <v>19</v>
      </c>
      <c r="H183" s="5">
        <f t="shared" si="0"/>
        <v>290.738611111111</v>
      </c>
      <c r="I183" s="11">
        <v>88</v>
      </c>
      <c r="J183" s="11">
        <v>5</v>
      </c>
      <c r="K183" s="11">
        <v>32</v>
      </c>
      <c r="L183" s="5">
        <f t="shared" si="1"/>
        <v>88.0922222222222</v>
      </c>
      <c r="M183" s="5">
        <f t="shared" si="15"/>
        <v>28.1687464820312</v>
      </c>
      <c r="N183" s="5">
        <f t="shared" si="16"/>
        <v>0.938281633804907</v>
      </c>
      <c r="O183" s="23">
        <v>1.39</v>
      </c>
      <c r="P183" s="23">
        <v>1516.161</v>
      </c>
      <c r="Q183" s="5">
        <f t="shared" si="17"/>
        <v>1517.34828163381</v>
      </c>
      <c r="S183" s="19"/>
      <c r="T183" s="19"/>
      <c r="U183" s="19">
        <v>304.9047222</v>
      </c>
      <c r="V183" s="19"/>
      <c r="W183" s="19">
        <f t="shared" si="19"/>
        <v>355593.568893437</v>
      </c>
      <c r="X183" s="19">
        <f t="shared" ref="X183:X212" si="20">$T$124+(H183*COS(U183*3.141592654/180))</f>
        <v>3055901.66754874</v>
      </c>
      <c r="Y183" s="19"/>
    </row>
    <row r="184" ht="14.25" customHeight="1" spans="1:25">
      <c r="A184" s="10" t="s">
        <v>206</v>
      </c>
      <c r="B184" s="11">
        <v>1.26</v>
      </c>
      <c r="C184" s="11">
        <v>1.13</v>
      </c>
      <c r="D184" s="11">
        <v>1</v>
      </c>
      <c r="E184" s="11">
        <v>280</v>
      </c>
      <c r="F184" s="11">
        <v>41</v>
      </c>
      <c r="G184" s="11">
        <v>56</v>
      </c>
      <c r="H184" s="5">
        <f t="shared" si="0"/>
        <v>280.698888888889</v>
      </c>
      <c r="I184" s="11">
        <v>88</v>
      </c>
      <c r="J184" s="11">
        <v>51</v>
      </c>
      <c r="K184" s="11">
        <v>8</v>
      </c>
      <c r="L184" s="5">
        <f t="shared" si="1"/>
        <v>88.8522222222222</v>
      </c>
      <c r="M184" s="5">
        <f t="shared" si="15"/>
        <v>25.9895675668074</v>
      </c>
      <c r="N184" s="5">
        <f t="shared" si="16"/>
        <v>0.520705701279976</v>
      </c>
      <c r="O184" s="23">
        <v>1.39</v>
      </c>
      <c r="P184" s="23">
        <v>1516.161</v>
      </c>
      <c r="Q184" s="5">
        <f t="shared" si="17"/>
        <v>1516.94170570128</v>
      </c>
      <c r="S184" s="19"/>
      <c r="T184" s="19"/>
      <c r="U184" s="19">
        <v>305.9047222</v>
      </c>
      <c r="V184" s="19"/>
      <c r="W184" s="19">
        <f t="shared" si="19"/>
        <v>355604.640777964</v>
      </c>
      <c r="X184" s="19">
        <f t="shared" si="20"/>
        <v>3055899.91580862</v>
      </c>
      <c r="Y184" s="19"/>
    </row>
    <row r="185" ht="14.25" customHeight="1" spans="1:25">
      <c r="A185" s="10" t="s">
        <v>207</v>
      </c>
      <c r="B185" s="11">
        <v>1.209</v>
      </c>
      <c r="C185" s="11">
        <v>1.105</v>
      </c>
      <c r="D185" s="11">
        <v>1</v>
      </c>
      <c r="E185" s="11">
        <v>304</v>
      </c>
      <c r="F185" s="11">
        <v>56</v>
      </c>
      <c r="G185" s="11">
        <v>41</v>
      </c>
      <c r="H185" s="5">
        <f t="shared" si="0"/>
        <v>304.944722222222</v>
      </c>
      <c r="I185" s="11">
        <v>88</v>
      </c>
      <c r="J185" s="11">
        <v>40</v>
      </c>
      <c r="K185" s="11">
        <v>0</v>
      </c>
      <c r="L185" s="5">
        <f t="shared" si="1"/>
        <v>88.6666666666667</v>
      </c>
      <c r="M185" s="5">
        <f t="shared" si="15"/>
        <v>20.8886838134876</v>
      </c>
      <c r="N185" s="5">
        <f t="shared" si="16"/>
        <v>0.486189512466453</v>
      </c>
      <c r="O185" s="23">
        <v>1.39</v>
      </c>
      <c r="P185" s="23">
        <v>1516.161</v>
      </c>
      <c r="Q185" s="5">
        <f t="shared" si="17"/>
        <v>1516.93218951247</v>
      </c>
      <c r="S185" s="19"/>
      <c r="T185" s="19"/>
      <c r="U185" s="19">
        <v>306.9047222</v>
      </c>
      <c r="V185" s="19"/>
      <c r="W185" s="19">
        <f t="shared" si="19"/>
        <v>355588.160475219</v>
      </c>
      <c r="X185" s="19">
        <f t="shared" si="20"/>
        <v>3055918.41807678</v>
      </c>
      <c r="Y185" s="19"/>
    </row>
    <row r="186" ht="14.25" customHeight="1" spans="1:25">
      <c r="A186" s="10" t="s">
        <v>208</v>
      </c>
      <c r="B186" s="11">
        <v>1.208</v>
      </c>
      <c r="C186" s="11">
        <v>1.105</v>
      </c>
      <c r="D186" s="11">
        <v>1</v>
      </c>
      <c r="E186" s="11">
        <v>304</v>
      </c>
      <c r="F186" s="11">
        <v>18</v>
      </c>
      <c r="G186" s="11">
        <v>53</v>
      </c>
      <c r="H186" s="5">
        <f t="shared" si="0"/>
        <v>304.314722222222</v>
      </c>
      <c r="I186" s="11">
        <v>89</v>
      </c>
      <c r="J186" s="11">
        <v>52</v>
      </c>
      <c r="K186" s="11">
        <v>11</v>
      </c>
      <c r="L186" s="5">
        <f t="shared" si="1"/>
        <v>89.8697222222222</v>
      </c>
      <c r="M186" s="5">
        <f t="shared" si="15"/>
        <v>20.799892462978</v>
      </c>
      <c r="N186" s="5">
        <f t="shared" si="16"/>
        <v>0.0472943812094056</v>
      </c>
      <c r="O186" s="23">
        <v>1.39</v>
      </c>
      <c r="P186" s="23">
        <v>1516.161</v>
      </c>
      <c r="Q186" s="5">
        <f t="shared" si="17"/>
        <v>1516.49329438121</v>
      </c>
      <c r="S186" s="19"/>
      <c r="T186" s="19"/>
      <c r="U186" s="19">
        <v>307.9047222</v>
      </c>
      <c r="V186" s="19"/>
      <c r="W186" s="19">
        <f t="shared" si="19"/>
        <v>355591.890503742</v>
      </c>
      <c r="X186" s="19">
        <f t="shared" si="20"/>
        <v>3055922.25882058</v>
      </c>
      <c r="Y186" s="19"/>
    </row>
    <row r="187" ht="14.25" customHeight="1" spans="1:25">
      <c r="A187" s="10" t="s">
        <v>209</v>
      </c>
      <c r="B187" s="11">
        <v>1.249</v>
      </c>
      <c r="C187" s="11">
        <v>1.123</v>
      </c>
      <c r="D187" s="11">
        <v>1</v>
      </c>
      <c r="E187">
        <v>281</v>
      </c>
      <c r="F187">
        <v>22</v>
      </c>
      <c r="G187">
        <v>39</v>
      </c>
      <c r="H187" s="5">
        <f t="shared" si="0"/>
        <v>281.3775</v>
      </c>
      <c r="I187">
        <v>89</v>
      </c>
      <c r="J187">
        <v>48</v>
      </c>
      <c r="K187">
        <v>24</v>
      </c>
      <c r="L187" s="5">
        <f t="shared" si="1"/>
        <v>89.8066666666667</v>
      </c>
      <c r="M187" s="5">
        <f t="shared" si="15"/>
        <v>24.8997164916126</v>
      </c>
      <c r="N187" s="5">
        <f t="shared" si="16"/>
        <v>0.0840195124278662</v>
      </c>
      <c r="O187" s="23">
        <v>1.39</v>
      </c>
      <c r="P187" s="23">
        <v>1516.161</v>
      </c>
      <c r="Q187" s="5">
        <f t="shared" si="17"/>
        <v>1516.51201951243</v>
      </c>
      <c r="S187" s="19"/>
      <c r="T187" s="19"/>
      <c r="U187" s="19">
        <v>308.9047222</v>
      </c>
      <c r="V187" s="19"/>
      <c r="W187" s="19">
        <f t="shared" si="19"/>
        <v>355613.039452155</v>
      </c>
      <c r="X187" s="19">
        <f t="shared" si="20"/>
        <v>3055912.0157227</v>
      </c>
      <c r="Y187" s="19"/>
    </row>
    <row r="188" ht="14.25" customHeight="1" spans="1:25">
      <c r="A188" s="10" t="s">
        <v>210</v>
      </c>
      <c r="B188" s="11">
        <v>1.345</v>
      </c>
      <c r="C188" s="11">
        <v>1.174</v>
      </c>
      <c r="D188" s="11">
        <v>1</v>
      </c>
      <c r="E188" s="11">
        <v>274</v>
      </c>
      <c r="F188" s="11">
        <v>29</v>
      </c>
      <c r="G188" s="11">
        <v>37</v>
      </c>
      <c r="H188" s="5">
        <f t="shared" si="0"/>
        <v>274.493611111111</v>
      </c>
      <c r="I188" s="11">
        <v>89</v>
      </c>
      <c r="J188" s="11">
        <v>51</v>
      </c>
      <c r="K188" s="11">
        <v>51</v>
      </c>
      <c r="L188" s="5">
        <f t="shared" si="1"/>
        <v>89.8641666666667</v>
      </c>
      <c r="M188" s="5">
        <f t="shared" si="15"/>
        <v>34.499806096462</v>
      </c>
      <c r="N188" s="5">
        <f t="shared" si="16"/>
        <v>0.0817901856082549</v>
      </c>
      <c r="O188" s="23">
        <v>1.39</v>
      </c>
      <c r="P188" s="23">
        <v>1516.161</v>
      </c>
      <c r="Q188" s="5">
        <f t="shared" si="17"/>
        <v>1516.45879018561</v>
      </c>
      <c r="S188" s="19"/>
      <c r="T188" s="19"/>
      <c r="U188" s="19">
        <v>309.9047222</v>
      </c>
      <c r="V188" s="19"/>
      <c r="W188" s="19">
        <f t="shared" si="19"/>
        <v>355621.437579641</v>
      </c>
      <c r="X188" s="19">
        <f t="shared" si="20"/>
        <v>3055911.39418099</v>
      </c>
      <c r="Y188" s="19"/>
    </row>
    <row r="189" ht="14.25" customHeight="1" spans="1:25">
      <c r="A189" s="10" t="s">
        <v>211</v>
      </c>
      <c r="B189" s="11">
        <v>1.342</v>
      </c>
      <c r="C189" s="11">
        <v>1.171</v>
      </c>
      <c r="D189" s="11">
        <v>1</v>
      </c>
      <c r="E189" s="11">
        <v>272</v>
      </c>
      <c r="F189" s="11">
        <v>55</v>
      </c>
      <c r="G189" s="11">
        <v>49</v>
      </c>
      <c r="H189" s="5">
        <f t="shared" si="0"/>
        <v>272.930277777778</v>
      </c>
      <c r="I189" s="11">
        <v>90</v>
      </c>
      <c r="J189" s="11">
        <v>35</v>
      </c>
      <c r="K189" s="11">
        <v>33</v>
      </c>
      <c r="L189" s="5">
        <f t="shared" si="1"/>
        <v>90.5925</v>
      </c>
      <c r="M189" s="5">
        <f t="shared" si="15"/>
        <v>34.1963428559268</v>
      </c>
      <c r="N189" s="5">
        <f t="shared" si="16"/>
        <v>-0.353639580082282</v>
      </c>
      <c r="O189" s="23">
        <v>1.39</v>
      </c>
      <c r="P189" s="23">
        <v>1516.161</v>
      </c>
      <c r="Q189" s="5">
        <f t="shared" si="17"/>
        <v>1516.02636041992</v>
      </c>
      <c r="S189" s="19"/>
      <c r="T189" s="19"/>
      <c r="U189" s="19">
        <v>310.9047222</v>
      </c>
      <c r="V189" s="19"/>
      <c r="W189" s="19">
        <f t="shared" ref="W189:W212" si="21">$S$124+(H189*SIN(U189*3.141592654/180))</f>
        <v>355625.724431498</v>
      </c>
      <c r="X189" s="19">
        <f t="shared" si="20"/>
        <v>3055914.01859413</v>
      </c>
      <c r="Y189" s="19"/>
    </row>
    <row r="190" ht="14.25" customHeight="1" spans="1:25">
      <c r="A190" s="10" t="s">
        <v>212</v>
      </c>
      <c r="B190" s="11">
        <v>1.345</v>
      </c>
      <c r="C190" s="11">
        <v>1.175</v>
      </c>
      <c r="D190" s="11">
        <v>1</v>
      </c>
      <c r="E190" s="11">
        <v>271</v>
      </c>
      <c r="F190" s="11">
        <v>26</v>
      </c>
      <c r="G190" s="11">
        <v>18</v>
      </c>
      <c r="H190" s="5">
        <f t="shared" si="0"/>
        <v>271.438333333333</v>
      </c>
      <c r="I190" s="11">
        <v>91</v>
      </c>
      <c r="J190" s="11">
        <v>20</v>
      </c>
      <c r="K190" s="11">
        <v>6</v>
      </c>
      <c r="L190" s="5">
        <f t="shared" si="1"/>
        <v>91.335</v>
      </c>
      <c r="M190" s="5">
        <f t="shared" si="15"/>
        <v>34.4812734502854</v>
      </c>
      <c r="N190" s="5">
        <f t="shared" si="16"/>
        <v>-0.803564111623841</v>
      </c>
      <c r="O190" s="23">
        <v>1.39</v>
      </c>
      <c r="P190" s="23">
        <v>1516.161</v>
      </c>
      <c r="Q190" s="5">
        <f t="shared" si="17"/>
        <v>1515.57243588838</v>
      </c>
      <c r="S190" s="19"/>
      <c r="T190" s="19"/>
      <c r="U190" s="19">
        <v>311.9047222</v>
      </c>
      <c r="V190" s="19"/>
      <c r="W190" s="19">
        <f t="shared" si="21"/>
        <v>355629.985255566</v>
      </c>
      <c r="X190" s="19">
        <f t="shared" si="20"/>
        <v>3055916.59500661</v>
      </c>
      <c r="Y190" s="19"/>
    </row>
    <row r="191" ht="14.25" customHeight="1" spans="1:25">
      <c r="A191" s="10" t="s">
        <v>213</v>
      </c>
      <c r="B191" s="11">
        <v>1.344</v>
      </c>
      <c r="C191" s="11">
        <v>1.17</v>
      </c>
      <c r="D191" s="11">
        <v>1</v>
      </c>
      <c r="E191" s="11">
        <v>269</v>
      </c>
      <c r="F191" s="11">
        <v>44</v>
      </c>
      <c r="G191" s="11">
        <v>49</v>
      </c>
      <c r="H191" s="5">
        <f t="shared" si="0"/>
        <v>269.746944444444</v>
      </c>
      <c r="I191" s="11">
        <v>92</v>
      </c>
      <c r="J191" s="11">
        <v>12</v>
      </c>
      <c r="K191" s="11">
        <v>9</v>
      </c>
      <c r="L191" s="5">
        <f t="shared" si="1"/>
        <v>92.2025</v>
      </c>
      <c r="M191" s="5">
        <f t="shared" si="15"/>
        <v>34.3491921190344</v>
      </c>
      <c r="N191" s="5">
        <f t="shared" si="16"/>
        <v>-1.32106383814229</v>
      </c>
      <c r="O191" s="23">
        <v>1.39</v>
      </c>
      <c r="P191" s="23">
        <v>1516.161</v>
      </c>
      <c r="Q191" s="5">
        <f t="shared" si="17"/>
        <v>1515.05993616186</v>
      </c>
      <c r="S191" s="19"/>
      <c r="T191" s="19"/>
      <c r="U191" s="19">
        <v>312.9047222</v>
      </c>
      <c r="V191" s="19"/>
      <c r="W191" s="19">
        <f t="shared" si="21"/>
        <v>355634.418925957</v>
      </c>
      <c r="X191" s="19">
        <f t="shared" si="20"/>
        <v>3055918.94165982</v>
      </c>
      <c r="Y191" s="19"/>
    </row>
    <row r="192" ht="14.25" customHeight="1" spans="1:25">
      <c r="A192" s="10" t="s">
        <v>214</v>
      </c>
      <c r="B192" s="11">
        <v>1.27</v>
      </c>
      <c r="C192" s="11">
        <v>1.135</v>
      </c>
      <c r="D192" s="11">
        <v>1</v>
      </c>
      <c r="E192" s="11">
        <v>269</v>
      </c>
      <c r="F192" s="11">
        <v>2</v>
      </c>
      <c r="G192" s="11">
        <v>44</v>
      </c>
      <c r="H192" s="5">
        <f t="shared" si="0"/>
        <v>269.045555555556</v>
      </c>
      <c r="I192" s="11">
        <v>90</v>
      </c>
      <c r="J192" s="11">
        <v>44</v>
      </c>
      <c r="K192" s="11">
        <v>22</v>
      </c>
      <c r="L192" s="5">
        <f t="shared" si="1"/>
        <v>90.7394444444444</v>
      </c>
      <c r="M192" s="5">
        <f t="shared" si="15"/>
        <v>26.9955031801622</v>
      </c>
      <c r="N192" s="5">
        <f t="shared" si="16"/>
        <v>-0.348416294442423</v>
      </c>
      <c r="O192" s="23">
        <v>1.39</v>
      </c>
      <c r="P192" s="23">
        <v>1516.161</v>
      </c>
      <c r="Q192" s="5">
        <f t="shared" si="17"/>
        <v>1516.06758370556</v>
      </c>
      <c r="S192" s="19"/>
      <c r="T192" s="19"/>
      <c r="U192" s="19">
        <v>313.9047222</v>
      </c>
      <c r="V192" s="19"/>
      <c r="W192" s="19">
        <f t="shared" si="21"/>
        <v>355638.159302261</v>
      </c>
      <c r="X192" s="19">
        <f t="shared" si="20"/>
        <v>3055921.87565725</v>
      </c>
      <c r="Y192" s="19"/>
    </row>
    <row r="193" ht="14.25" customHeight="1" spans="1:25">
      <c r="A193" s="10" t="s">
        <v>215</v>
      </c>
      <c r="B193" s="11">
        <v>1.266</v>
      </c>
      <c r="C193" s="11">
        <v>1.133</v>
      </c>
      <c r="D193" s="11">
        <v>1</v>
      </c>
      <c r="E193" s="11">
        <v>275</v>
      </c>
      <c r="F193" s="11">
        <v>9</v>
      </c>
      <c r="G193" s="11">
        <v>27</v>
      </c>
      <c r="H193" s="5">
        <f t="shared" si="0"/>
        <v>275.1575</v>
      </c>
      <c r="I193" s="11">
        <v>91</v>
      </c>
      <c r="J193" s="11">
        <v>42</v>
      </c>
      <c r="K193" s="11">
        <v>46</v>
      </c>
      <c r="L193" s="5">
        <f t="shared" si="1"/>
        <v>91.7127777777778</v>
      </c>
      <c r="M193" s="5">
        <f t="shared" si="15"/>
        <v>26.5762365746703</v>
      </c>
      <c r="N193" s="5">
        <f t="shared" si="16"/>
        <v>-0.794696428448037</v>
      </c>
      <c r="O193" s="23">
        <v>1.39</v>
      </c>
      <c r="P193" s="23">
        <v>1516.161</v>
      </c>
      <c r="Q193" s="5">
        <f t="shared" si="17"/>
        <v>1515.62330357155</v>
      </c>
      <c r="S193" s="19"/>
      <c r="T193" s="19"/>
      <c r="U193" s="19">
        <v>314.9047222</v>
      </c>
      <c r="V193" s="19"/>
      <c r="W193" s="19">
        <f t="shared" si="21"/>
        <v>355637.115989597</v>
      </c>
      <c r="X193" s="19">
        <f t="shared" si="20"/>
        <v>3055929.54491986</v>
      </c>
      <c r="Y193" s="19"/>
    </row>
    <row r="194" ht="14.25" customHeight="1" spans="1:25">
      <c r="A194" s="10" t="s">
        <v>216</v>
      </c>
      <c r="B194" s="11">
        <v>1.262</v>
      </c>
      <c r="C194" s="11">
        <v>1.131</v>
      </c>
      <c r="D194" s="11">
        <v>1</v>
      </c>
      <c r="E194" s="11">
        <v>274</v>
      </c>
      <c r="F194" s="11">
        <v>51</v>
      </c>
      <c r="G194" s="11">
        <v>7</v>
      </c>
      <c r="H194" s="5">
        <f t="shared" si="0"/>
        <v>274.851944444444</v>
      </c>
      <c r="I194" s="11">
        <v>92</v>
      </c>
      <c r="J194" s="11">
        <v>48</v>
      </c>
      <c r="K194" s="11">
        <v>7</v>
      </c>
      <c r="L194" s="5">
        <f t="shared" si="1"/>
        <v>92.8019444444444</v>
      </c>
      <c r="M194" s="5">
        <f t="shared" si="15"/>
        <v>26.1373921440625</v>
      </c>
      <c r="N194" s="5">
        <f t="shared" si="16"/>
        <v>-1.27922088864162</v>
      </c>
      <c r="O194" s="23">
        <v>1.39</v>
      </c>
      <c r="P194" s="23">
        <v>1516.161</v>
      </c>
      <c r="Q194" s="5">
        <f t="shared" si="17"/>
        <v>1515.14077911136</v>
      </c>
      <c r="S194" s="19"/>
      <c r="T194" s="19"/>
      <c r="U194" s="19">
        <v>315.9047222</v>
      </c>
      <c r="V194" s="19"/>
      <c r="W194" s="19">
        <f t="shared" si="21"/>
        <v>355640.748283006</v>
      </c>
      <c r="X194" s="19">
        <f t="shared" si="20"/>
        <v>3055932.69717309</v>
      </c>
      <c r="Y194" s="19"/>
    </row>
    <row r="195" ht="14.25" customHeight="1" spans="1:25">
      <c r="A195" s="10" t="s">
        <v>217</v>
      </c>
      <c r="B195" s="11">
        <v>1.796</v>
      </c>
      <c r="C195" s="11">
        <v>1.698</v>
      </c>
      <c r="D195" s="11">
        <v>1.6</v>
      </c>
      <c r="E195" s="11">
        <v>272</v>
      </c>
      <c r="F195" s="11">
        <v>35</v>
      </c>
      <c r="G195" s="11">
        <v>36</v>
      </c>
      <c r="H195" s="5">
        <f t="shared" si="0"/>
        <v>272.593333333333</v>
      </c>
      <c r="I195" s="11">
        <v>89</v>
      </c>
      <c r="J195" s="11">
        <v>23</v>
      </c>
      <c r="K195" s="11">
        <v>44</v>
      </c>
      <c r="L195" s="5">
        <f t="shared" si="1"/>
        <v>89.3955555555556</v>
      </c>
      <c r="M195" s="5">
        <f t="shared" si="15"/>
        <v>19.5978187397973</v>
      </c>
      <c r="N195" s="5">
        <f t="shared" si="16"/>
        <v>0.206755754641383</v>
      </c>
      <c r="O195" s="23">
        <v>1.39</v>
      </c>
      <c r="P195" s="23">
        <v>1516.161</v>
      </c>
      <c r="Q195" s="5">
        <f t="shared" si="17"/>
        <v>1516.05975575464</v>
      </c>
      <c r="S195" s="19"/>
      <c r="T195" s="19"/>
      <c r="U195" s="19">
        <v>316.9047222</v>
      </c>
      <c r="V195" s="19"/>
      <c r="W195" s="19">
        <f t="shared" si="21"/>
        <v>355645.765529479</v>
      </c>
      <c r="X195" s="19">
        <f t="shared" si="20"/>
        <v>3055934.35571914</v>
      </c>
      <c r="Y195" s="19"/>
    </row>
    <row r="196" ht="14.25" customHeight="1" spans="1:25">
      <c r="A196" s="10" t="s">
        <v>218</v>
      </c>
      <c r="B196" s="11">
        <v>1.488</v>
      </c>
      <c r="C196" s="11">
        <v>1.394</v>
      </c>
      <c r="D196" s="11">
        <v>1.3</v>
      </c>
      <c r="E196" s="11">
        <v>301</v>
      </c>
      <c r="F196" s="11">
        <v>14</v>
      </c>
      <c r="G196" s="11">
        <v>58</v>
      </c>
      <c r="H196" s="5">
        <f t="shared" si="0"/>
        <v>301.249444444444</v>
      </c>
      <c r="I196" s="11">
        <v>91</v>
      </c>
      <c r="J196" s="11">
        <v>37</v>
      </c>
      <c r="K196" s="11">
        <v>20</v>
      </c>
      <c r="L196" s="5">
        <f t="shared" si="1"/>
        <v>91.6222222222222</v>
      </c>
      <c r="M196" s="5">
        <f t="shared" si="15"/>
        <v>18.7849333317471</v>
      </c>
      <c r="N196" s="5">
        <f t="shared" si="16"/>
        <v>-0.532002216782948</v>
      </c>
      <c r="O196" s="23">
        <v>1.39</v>
      </c>
      <c r="P196" s="23">
        <v>1516.161</v>
      </c>
      <c r="Q196" s="5">
        <f t="shared" si="17"/>
        <v>1515.62499778322</v>
      </c>
      <c r="S196" s="19"/>
      <c r="T196" s="19"/>
      <c r="U196" s="19">
        <v>317.9047222</v>
      </c>
      <c r="V196" s="19"/>
      <c r="W196" s="19">
        <f t="shared" si="21"/>
        <v>355630.057776388</v>
      </c>
      <c r="X196" s="19">
        <f t="shared" si="20"/>
        <v>3055958.83945486</v>
      </c>
      <c r="Y196" s="19"/>
    </row>
    <row r="197" ht="14.25" customHeight="1" spans="1:25">
      <c r="A197" s="10" t="s">
        <v>219</v>
      </c>
      <c r="B197" s="11">
        <v>1.679</v>
      </c>
      <c r="C197" s="11">
        <v>1.59</v>
      </c>
      <c r="D197" s="11">
        <v>1.5</v>
      </c>
      <c r="E197" s="11">
        <v>299</v>
      </c>
      <c r="F197" s="11">
        <v>41</v>
      </c>
      <c r="G197" s="11">
        <v>0</v>
      </c>
      <c r="H197" s="5">
        <f t="shared" si="0"/>
        <v>299.683333333333</v>
      </c>
      <c r="I197" s="11">
        <v>91</v>
      </c>
      <c r="J197" s="11">
        <v>52</v>
      </c>
      <c r="K197" s="11">
        <v>31</v>
      </c>
      <c r="L197" s="5">
        <f t="shared" si="1"/>
        <v>91.8752777777778</v>
      </c>
      <c r="M197" s="5">
        <f t="shared" si="15"/>
        <v>17.8808316867743</v>
      </c>
      <c r="N197" s="5">
        <f t="shared" si="16"/>
        <v>-0.585444602425004</v>
      </c>
      <c r="O197" s="23">
        <v>1.39</v>
      </c>
      <c r="P197" s="23">
        <v>1516.161</v>
      </c>
      <c r="Q197" s="5">
        <f t="shared" si="17"/>
        <v>1515.37555539758</v>
      </c>
      <c r="S197" s="19"/>
      <c r="T197" s="19"/>
      <c r="U197" s="19">
        <v>318.9047222</v>
      </c>
      <c r="V197" s="19"/>
      <c r="W197" s="19">
        <f t="shared" si="21"/>
        <v>355635.019208398</v>
      </c>
      <c r="X197" s="19">
        <f t="shared" si="20"/>
        <v>3055961.14962536</v>
      </c>
      <c r="Y197" s="19"/>
    </row>
    <row r="198" ht="14.25" customHeight="1" spans="1:25">
      <c r="A198" s="10" t="s">
        <v>220</v>
      </c>
      <c r="B198" s="11">
        <v>1.282</v>
      </c>
      <c r="C198" s="11">
        <v>1.141</v>
      </c>
      <c r="D198" s="11">
        <v>1</v>
      </c>
      <c r="E198" s="11">
        <v>266</v>
      </c>
      <c r="F198" s="11">
        <v>37</v>
      </c>
      <c r="G198" s="11">
        <v>12</v>
      </c>
      <c r="H198" s="5">
        <f t="shared" si="0"/>
        <v>266.62</v>
      </c>
      <c r="I198" s="11">
        <v>92</v>
      </c>
      <c r="J198" s="11">
        <v>50</v>
      </c>
      <c r="K198" s="11">
        <v>12</v>
      </c>
      <c r="L198" s="5">
        <f t="shared" si="1"/>
        <v>92.8366666666667</v>
      </c>
      <c r="M198" s="5">
        <f t="shared" si="15"/>
        <v>28.1309337965306</v>
      </c>
      <c r="N198" s="5">
        <f t="shared" si="16"/>
        <v>-1.39387832947305</v>
      </c>
      <c r="O198" s="23">
        <v>1.39</v>
      </c>
      <c r="P198" s="23">
        <v>1516.161</v>
      </c>
      <c r="Q198" s="5">
        <f t="shared" si="17"/>
        <v>1515.01612167053</v>
      </c>
      <c r="S198" s="19"/>
      <c r="T198" s="19"/>
      <c r="U198" s="19">
        <v>319.9047222</v>
      </c>
      <c r="V198" s="19"/>
      <c r="W198" s="19">
        <f t="shared" si="21"/>
        <v>355660.285567155</v>
      </c>
      <c r="X198" s="19">
        <f t="shared" si="20"/>
        <v>3055939.26049749</v>
      </c>
      <c r="Y198" s="19"/>
    </row>
    <row r="199" ht="14.25" customHeight="1" spans="1:25">
      <c r="A199" s="10" t="s">
        <v>221</v>
      </c>
      <c r="B199" s="11">
        <v>1.215</v>
      </c>
      <c r="C199" s="11">
        <v>1.109</v>
      </c>
      <c r="D199" s="11">
        <v>1</v>
      </c>
      <c r="E199" s="11">
        <v>266</v>
      </c>
      <c r="F199" s="11">
        <v>48</v>
      </c>
      <c r="G199" s="11">
        <v>0</v>
      </c>
      <c r="H199" s="5">
        <f t="shared" si="0"/>
        <v>266.8</v>
      </c>
      <c r="I199" s="11">
        <v>93</v>
      </c>
      <c r="J199" s="11">
        <v>53</v>
      </c>
      <c r="K199" s="11">
        <v>30</v>
      </c>
      <c r="L199" s="5">
        <f t="shared" si="1"/>
        <v>93.8916666666667</v>
      </c>
      <c r="M199" s="5">
        <f t="shared" si="15"/>
        <v>21.4009632236016</v>
      </c>
      <c r="N199" s="5">
        <f t="shared" si="16"/>
        <v>-1.45584422569362</v>
      </c>
      <c r="O199" s="23">
        <v>1.39</v>
      </c>
      <c r="P199" s="23">
        <v>1516.161</v>
      </c>
      <c r="Q199" s="5">
        <f t="shared" si="17"/>
        <v>1514.98615577431</v>
      </c>
      <c r="S199" s="19"/>
      <c r="T199" s="19"/>
      <c r="U199" s="19">
        <v>320.9047222</v>
      </c>
      <c r="V199" s="19"/>
      <c r="W199" s="19">
        <f t="shared" si="21"/>
        <v>355663.757759867</v>
      </c>
      <c r="X199" s="19">
        <f t="shared" si="20"/>
        <v>3055942.36604882</v>
      </c>
      <c r="Y199" s="19"/>
    </row>
    <row r="200" ht="14.25" customHeight="1" spans="1:25">
      <c r="A200" s="10" t="s">
        <v>222</v>
      </c>
      <c r="B200" s="11">
        <v>1.468</v>
      </c>
      <c r="C200" s="11">
        <v>1.385</v>
      </c>
      <c r="D200" s="11">
        <v>1.3</v>
      </c>
      <c r="E200" s="11">
        <v>284</v>
      </c>
      <c r="F200" s="11">
        <v>10</v>
      </c>
      <c r="G200" s="11">
        <v>30</v>
      </c>
      <c r="H200" s="5">
        <f t="shared" si="0"/>
        <v>284.175</v>
      </c>
      <c r="I200" s="11">
        <v>92</v>
      </c>
      <c r="J200" s="11">
        <v>21</v>
      </c>
      <c r="K200" s="11">
        <v>12</v>
      </c>
      <c r="L200" s="5">
        <f t="shared" si="1"/>
        <v>92.3533333333333</v>
      </c>
      <c r="M200" s="5">
        <f t="shared" si="15"/>
        <v>16.7716739071824</v>
      </c>
      <c r="N200" s="5">
        <f t="shared" si="16"/>
        <v>-0.689257565646476</v>
      </c>
      <c r="O200" s="23">
        <v>1.39</v>
      </c>
      <c r="P200" s="23">
        <v>1516.161</v>
      </c>
      <c r="Q200" s="5">
        <f t="shared" si="17"/>
        <v>1515.47674243435</v>
      </c>
      <c r="S200" s="19"/>
      <c r="T200" s="19"/>
      <c r="U200" s="19">
        <v>321.9047222</v>
      </c>
      <c r="V200" s="19"/>
      <c r="W200" s="19">
        <f t="shared" si="21"/>
        <v>355656.677261839</v>
      </c>
      <c r="X200" s="19">
        <f t="shared" si="20"/>
        <v>3055958.9447109</v>
      </c>
      <c r="Y200" s="19"/>
    </row>
    <row r="201" ht="14.25" customHeight="1" spans="1:25">
      <c r="A201" s="10" t="s">
        <v>223</v>
      </c>
      <c r="B201" s="11">
        <v>1.49</v>
      </c>
      <c r="C201" s="11">
        <v>1.345</v>
      </c>
      <c r="D201" s="11">
        <v>1.2</v>
      </c>
      <c r="E201" s="11">
        <v>336</v>
      </c>
      <c r="F201" s="11">
        <v>24</v>
      </c>
      <c r="G201" s="12">
        <v>54</v>
      </c>
      <c r="H201" s="5">
        <f t="shared" si="0"/>
        <v>336.415</v>
      </c>
      <c r="I201" s="11">
        <v>85</v>
      </c>
      <c r="J201" s="11">
        <v>47</v>
      </c>
      <c r="K201" s="11">
        <v>10</v>
      </c>
      <c r="L201" s="5">
        <f t="shared" si="1"/>
        <v>85.7861111111111</v>
      </c>
      <c r="M201" s="5">
        <f t="shared" si="15"/>
        <v>28.8434202079761</v>
      </c>
      <c r="N201" s="5">
        <f t="shared" si="16"/>
        <v>2.12515804998643</v>
      </c>
      <c r="O201" s="23">
        <v>1.39</v>
      </c>
      <c r="P201" s="23">
        <v>1516.161</v>
      </c>
      <c r="Q201" s="5">
        <f t="shared" si="17"/>
        <v>1518.33115804999</v>
      </c>
      <c r="S201" s="19"/>
      <c r="T201" s="19"/>
      <c r="U201" s="19">
        <v>322.9047222</v>
      </c>
      <c r="V201" s="19"/>
      <c r="W201" s="19">
        <f t="shared" si="21"/>
        <v>355629.098900004</v>
      </c>
      <c r="X201" s="19">
        <f t="shared" si="20"/>
        <v>3056003.63892158</v>
      </c>
      <c r="Y201" s="19"/>
    </row>
    <row r="202" ht="14.25" customHeight="1" spans="1:25">
      <c r="A202" s="10" t="s">
        <v>224</v>
      </c>
      <c r="B202" s="11">
        <v>1.65</v>
      </c>
      <c r="C202" s="11">
        <v>1.475</v>
      </c>
      <c r="D202" s="11">
        <v>1.3</v>
      </c>
      <c r="E202" s="11">
        <v>337</v>
      </c>
      <c r="F202" s="11">
        <v>47</v>
      </c>
      <c r="G202" s="11">
        <v>16</v>
      </c>
      <c r="H202" s="5">
        <f t="shared" si="0"/>
        <v>337.787777777778</v>
      </c>
      <c r="I202" s="11">
        <v>86</v>
      </c>
      <c r="J202" s="11">
        <v>17</v>
      </c>
      <c r="K202" s="11">
        <v>6</v>
      </c>
      <c r="L202" s="5">
        <f t="shared" si="1"/>
        <v>86.285</v>
      </c>
      <c r="M202" s="5">
        <f t="shared" si="15"/>
        <v>34.8530628115839</v>
      </c>
      <c r="N202" s="5">
        <f t="shared" si="16"/>
        <v>2.26300929234163</v>
      </c>
      <c r="O202" s="23">
        <v>1.39</v>
      </c>
      <c r="P202" s="23">
        <v>1516.161</v>
      </c>
      <c r="Q202" s="5">
        <f t="shared" si="17"/>
        <v>1518.33900929234</v>
      </c>
      <c r="S202" s="19"/>
      <c r="T202" s="19"/>
      <c r="U202" s="19">
        <v>323.9047222</v>
      </c>
      <c r="V202" s="19"/>
      <c r="W202" s="19">
        <f t="shared" si="21"/>
        <v>355633.004166906</v>
      </c>
      <c r="X202" s="19">
        <f t="shared" si="20"/>
        <v>3056008.24850966</v>
      </c>
      <c r="Y202" s="19"/>
    </row>
    <row r="203" ht="14.25" customHeight="1" spans="1:25">
      <c r="A203" s="10" t="s">
        <v>225</v>
      </c>
      <c r="B203" s="11">
        <v>2.419</v>
      </c>
      <c r="C203" s="11">
        <v>2.21</v>
      </c>
      <c r="D203" s="11">
        <v>2</v>
      </c>
      <c r="E203" s="11">
        <v>335</v>
      </c>
      <c r="F203" s="11">
        <v>42</v>
      </c>
      <c r="G203" s="11">
        <v>53</v>
      </c>
      <c r="H203" s="5">
        <f t="shared" si="0"/>
        <v>335.714722222222</v>
      </c>
      <c r="I203" s="11">
        <v>85</v>
      </c>
      <c r="J203" s="11">
        <v>54</v>
      </c>
      <c r="K203" s="11">
        <v>5</v>
      </c>
      <c r="L203" s="5">
        <f t="shared" si="1"/>
        <v>85.9013888888889</v>
      </c>
      <c r="M203" s="5">
        <f t="shared" si="15"/>
        <v>41.6859568791693</v>
      </c>
      <c r="N203" s="5">
        <f t="shared" si="16"/>
        <v>2.98707085708274</v>
      </c>
      <c r="O203" s="23">
        <v>1.39</v>
      </c>
      <c r="P203" s="23">
        <v>1516.161</v>
      </c>
      <c r="Q203" s="5">
        <f t="shared" si="17"/>
        <v>1518.32807085708</v>
      </c>
      <c r="S203" s="19"/>
      <c r="T203" s="19"/>
      <c r="U203" s="19">
        <v>324.9047222</v>
      </c>
      <c r="V203" s="19"/>
      <c r="W203" s="19">
        <f t="shared" si="21"/>
        <v>355638.989909708</v>
      </c>
      <c r="X203" s="19">
        <f t="shared" si="20"/>
        <v>3056009.9838141</v>
      </c>
      <c r="Y203" s="19"/>
    </row>
    <row r="204" ht="14.25" customHeight="1" spans="1:25">
      <c r="A204" s="10" t="s">
        <v>226</v>
      </c>
      <c r="B204" s="11">
        <v>1.174</v>
      </c>
      <c r="C204" s="11">
        <v>1.088</v>
      </c>
      <c r="D204" s="11">
        <v>1</v>
      </c>
      <c r="E204" s="11">
        <v>343</v>
      </c>
      <c r="F204" s="11">
        <v>12</v>
      </c>
      <c r="G204" s="11">
        <v>44</v>
      </c>
      <c r="H204" s="5">
        <f t="shared" si="0"/>
        <v>343.212222222222</v>
      </c>
      <c r="I204" s="11">
        <v>85</v>
      </c>
      <c r="J204" s="11">
        <v>57</v>
      </c>
      <c r="K204" s="11">
        <v>27</v>
      </c>
      <c r="L204" s="5">
        <f t="shared" si="1"/>
        <v>85.9575</v>
      </c>
      <c r="M204" s="5">
        <f t="shared" si="15"/>
        <v>17.3135264513099</v>
      </c>
      <c r="N204" s="5">
        <f t="shared" si="16"/>
        <v>1.22358574386261</v>
      </c>
      <c r="O204" s="23">
        <v>1.39</v>
      </c>
      <c r="P204" s="23">
        <v>1516.161</v>
      </c>
      <c r="Q204" s="5">
        <f t="shared" si="17"/>
        <v>1517.68658574386</v>
      </c>
      <c r="S204" s="19"/>
      <c r="T204" s="19"/>
      <c r="U204" s="19">
        <v>325.9047222</v>
      </c>
      <c r="V204" s="19"/>
      <c r="W204" s="19">
        <f t="shared" si="21"/>
        <v>355639.610268889</v>
      </c>
      <c r="X204" s="19">
        <f t="shared" si="20"/>
        <v>3056019.51928547</v>
      </c>
      <c r="Y204" s="19"/>
    </row>
    <row r="205" ht="14.25" customHeight="1" spans="1:25">
      <c r="A205" s="10" t="s">
        <v>227</v>
      </c>
      <c r="B205" s="11">
        <v>1.665</v>
      </c>
      <c r="C205" s="11">
        <v>1.591</v>
      </c>
      <c r="D205" s="11">
        <v>1.5</v>
      </c>
      <c r="E205" s="11">
        <v>346</v>
      </c>
      <c r="F205" s="11">
        <v>38</v>
      </c>
      <c r="G205" s="11">
        <v>18</v>
      </c>
      <c r="H205" s="5">
        <f t="shared" si="0"/>
        <v>346.638333333333</v>
      </c>
      <c r="I205" s="11">
        <v>83</v>
      </c>
      <c r="J205" s="11">
        <v>55</v>
      </c>
      <c r="K205" s="11">
        <v>6</v>
      </c>
      <c r="L205" s="5">
        <f t="shared" si="1"/>
        <v>83.9183333333333</v>
      </c>
      <c r="M205" s="5">
        <f t="shared" si="15"/>
        <v>16.3147951914099</v>
      </c>
      <c r="N205" s="5">
        <f t="shared" si="16"/>
        <v>1.73826882863731</v>
      </c>
      <c r="O205" s="23">
        <v>1.39</v>
      </c>
      <c r="P205" s="23">
        <v>1516.161</v>
      </c>
      <c r="Q205" s="5">
        <f t="shared" si="17"/>
        <v>1517.69826882864</v>
      </c>
      <c r="S205" s="19"/>
      <c r="T205" s="19"/>
      <c r="U205" s="19">
        <v>326.9047222</v>
      </c>
      <c r="V205" s="19"/>
      <c r="W205" s="19">
        <f t="shared" si="21"/>
        <v>355642.729060231</v>
      </c>
      <c r="X205" s="19">
        <f t="shared" si="20"/>
        <v>3056025.70402059</v>
      </c>
      <c r="Y205" s="19"/>
    </row>
    <row r="206" ht="14.25" customHeight="1" spans="1:25">
      <c r="A206" s="10" t="s">
        <v>228</v>
      </c>
      <c r="B206" s="11">
        <v>1.684</v>
      </c>
      <c r="C206" s="11">
        <v>1.591</v>
      </c>
      <c r="D206" s="11">
        <v>1.5</v>
      </c>
      <c r="E206" s="11">
        <v>348</v>
      </c>
      <c r="F206" s="11">
        <v>58</v>
      </c>
      <c r="G206" s="11">
        <v>24</v>
      </c>
      <c r="H206" s="5">
        <f t="shared" si="0"/>
        <v>348.973333333333</v>
      </c>
      <c r="I206" s="11">
        <v>84</v>
      </c>
      <c r="J206" s="11">
        <v>35</v>
      </c>
      <c r="K206" s="11">
        <v>16</v>
      </c>
      <c r="L206" s="5">
        <f t="shared" si="1"/>
        <v>84.5877777777778</v>
      </c>
      <c r="M206" s="5">
        <f t="shared" si="15"/>
        <v>18.2363064029511</v>
      </c>
      <c r="N206" s="5">
        <f t="shared" si="16"/>
        <v>1.72776346528835</v>
      </c>
      <c r="O206" s="23">
        <v>1.39</v>
      </c>
      <c r="P206" s="23">
        <v>1516.161</v>
      </c>
      <c r="Q206" s="5">
        <f t="shared" si="17"/>
        <v>1517.68776346529</v>
      </c>
      <c r="S206" s="19"/>
      <c r="T206" s="19"/>
      <c r="U206" s="19">
        <v>327.9047222</v>
      </c>
      <c r="V206" s="19"/>
      <c r="W206" s="19">
        <f t="shared" si="21"/>
        <v>355646.585431863</v>
      </c>
      <c r="X206" s="19">
        <f t="shared" si="20"/>
        <v>3056030.94124369</v>
      </c>
      <c r="Y206" s="19"/>
    </row>
    <row r="207" ht="14.25" customHeight="1" spans="1:25">
      <c r="A207" s="10" t="s">
        <v>229</v>
      </c>
      <c r="B207" s="11">
        <v>1.158</v>
      </c>
      <c r="C207" s="11">
        <v>1.08</v>
      </c>
      <c r="D207" s="11">
        <v>1</v>
      </c>
      <c r="E207" s="11">
        <v>353</v>
      </c>
      <c r="F207" s="11">
        <v>18</v>
      </c>
      <c r="G207" s="11">
        <v>9</v>
      </c>
      <c r="H207" s="5">
        <f t="shared" si="0"/>
        <v>353.3025</v>
      </c>
      <c r="I207" s="11">
        <v>89</v>
      </c>
      <c r="J207" s="11">
        <v>33</v>
      </c>
      <c r="K207" s="11">
        <v>52</v>
      </c>
      <c r="L207" s="5">
        <f t="shared" si="1"/>
        <v>89.5644444444444</v>
      </c>
      <c r="M207" s="5">
        <f t="shared" si="15"/>
        <v>15.7990869583869</v>
      </c>
      <c r="N207" s="5">
        <f t="shared" si="16"/>
        <v>0.120105053356198</v>
      </c>
      <c r="O207" s="23">
        <v>1.39</v>
      </c>
      <c r="P207" s="23">
        <v>1516.161</v>
      </c>
      <c r="Q207" s="5">
        <f t="shared" si="17"/>
        <v>1516.59110505336</v>
      </c>
      <c r="S207" s="19"/>
      <c r="T207" s="19"/>
      <c r="U207" s="19">
        <v>328.9047222</v>
      </c>
      <c r="V207" s="19"/>
      <c r="W207" s="19">
        <f t="shared" si="21"/>
        <v>355649.537417607</v>
      </c>
      <c r="X207" s="19">
        <f t="shared" si="20"/>
        <v>3056037.83934142</v>
      </c>
      <c r="Y207" s="19"/>
    </row>
    <row r="208" ht="14.25" customHeight="1" spans="1:25">
      <c r="A208" s="10" t="s">
        <v>230</v>
      </c>
      <c r="B208" s="11">
        <v>1.174</v>
      </c>
      <c r="C208" s="11">
        <v>1.088</v>
      </c>
      <c r="D208" s="11">
        <v>1</v>
      </c>
      <c r="E208" s="11">
        <v>354</v>
      </c>
      <c r="F208" s="11">
        <v>29</v>
      </c>
      <c r="G208" s="11">
        <v>26</v>
      </c>
      <c r="H208" s="5">
        <f t="shared" si="0"/>
        <v>354.490555555556</v>
      </c>
      <c r="I208" s="11">
        <v>83</v>
      </c>
      <c r="J208" s="11">
        <v>35</v>
      </c>
      <c r="K208" s="11">
        <v>27</v>
      </c>
      <c r="L208" s="5">
        <f t="shared" si="1"/>
        <v>83.5908333333333</v>
      </c>
      <c r="M208" s="5">
        <f t="shared" si="15"/>
        <v>17.1831822014183</v>
      </c>
      <c r="N208" s="5">
        <f t="shared" si="16"/>
        <v>1.9301864514962</v>
      </c>
      <c r="O208" s="23">
        <v>1.39</v>
      </c>
      <c r="P208" s="23">
        <v>1516.161</v>
      </c>
      <c r="Q208" s="5">
        <f t="shared" si="17"/>
        <v>1518.3931864515</v>
      </c>
      <c r="S208" s="19"/>
      <c r="T208" s="19"/>
      <c r="U208" s="19">
        <v>329.9047222</v>
      </c>
      <c r="V208" s="19"/>
      <c r="W208" s="19">
        <f t="shared" si="21"/>
        <v>355654.249457595</v>
      </c>
      <c r="X208" s="19">
        <f t="shared" si="20"/>
        <v>3056042.00565914</v>
      </c>
      <c r="Y208" s="19"/>
    </row>
    <row r="209" ht="14.25" customHeight="1" spans="1:25">
      <c r="A209" s="10" t="s">
        <v>231</v>
      </c>
      <c r="B209" s="11">
        <v>1.225</v>
      </c>
      <c r="C209" s="11">
        <v>1.113</v>
      </c>
      <c r="D209" s="11">
        <v>1</v>
      </c>
      <c r="E209" s="11">
        <v>357</v>
      </c>
      <c r="F209" s="11">
        <v>49</v>
      </c>
      <c r="G209" s="12">
        <v>28</v>
      </c>
      <c r="H209" s="5">
        <f t="shared" si="0"/>
        <v>357.824444444444</v>
      </c>
      <c r="I209" s="11">
        <v>89</v>
      </c>
      <c r="J209" s="11">
        <v>29</v>
      </c>
      <c r="K209" s="11">
        <v>32</v>
      </c>
      <c r="L209" s="5">
        <f t="shared" si="1"/>
        <v>89.4922222222222</v>
      </c>
      <c r="M209" s="5">
        <f t="shared" si="15"/>
        <v>22.498232850613</v>
      </c>
      <c r="N209" s="5">
        <f t="shared" si="16"/>
        <v>0.199393426148155</v>
      </c>
      <c r="O209" s="23">
        <v>1.39</v>
      </c>
      <c r="P209" s="23">
        <v>1516.161</v>
      </c>
      <c r="Q209" s="5">
        <f t="shared" si="17"/>
        <v>1516.63739342615</v>
      </c>
      <c r="S209" s="19"/>
      <c r="T209" s="19"/>
      <c r="U209" s="19">
        <v>330.9047222</v>
      </c>
      <c r="V209" s="19"/>
      <c r="W209" s="19">
        <f t="shared" si="21"/>
        <v>355658.008082063</v>
      </c>
      <c r="X209" s="19">
        <f t="shared" si="20"/>
        <v>3056047.97440194</v>
      </c>
      <c r="Y209" s="19"/>
    </row>
    <row r="210" ht="14.25" customHeight="1" spans="1:25">
      <c r="A210" s="10" t="s">
        <v>232</v>
      </c>
      <c r="B210" s="11">
        <v>1.294</v>
      </c>
      <c r="C210" s="11">
        <v>1.146</v>
      </c>
      <c r="D210" s="11">
        <v>1</v>
      </c>
      <c r="E210" s="11">
        <v>0</v>
      </c>
      <c r="F210" s="11">
        <v>32</v>
      </c>
      <c r="G210" s="11">
        <v>2</v>
      </c>
      <c r="H210" s="5">
        <f t="shared" si="0"/>
        <v>0.533888888888889</v>
      </c>
      <c r="I210" s="11">
        <v>88</v>
      </c>
      <c r="J210" s="11">
        <v>52</v>
      </c>
      <c r="K210" s="11">
        <v>40</v>
      </c>
      <c r="L210" s="5">
        <f t="shared" si="1"/>
        <v>88.8777777777778</v>
      </c>
      <c r="M210" s="5">
        <f t="shared" si="15"/>
        <v>29.3887227227544</v>
      </c>
      <c r="N210" s="5">
        <f t="shared" si="16"/>
        <v>0.575695035620018</v>
      </c>
      <c r="O210" s="23">
        <v>1.39</v>
      </c>
      <c r="P210" s="23">
        <v>1516.161</v>
      </c>
      <c r="Q210" s="5">
        <f t="shared" si="17"/>
        <v>1516.98069503562</v>
      </c>
      <c r="S210" s="19"/>
      <c r="T210" s="19"/>
      <c r="U210" s="19">
        <v>331.9047222</v>
      </c>
      <c r="V210" s="19"/>
      <c r="W210" s="19">
        <f t="shared" si="21"/>
        <v>355831.753570807</v>
      </c>
      <c r="X210" s="19">
        <f t="shared" si="20"/>
        <v>3055735.77397846</v>
      </c>
      <c r="Y210" s="19"/>
    </row>
    <row r="211" ht="14.25" customHeight="1" spans="1:25">
      <c r="A211" s="10" t="s">
        <v>233</v>
      </c>
      <c r="B211" s="11">
        <v>1.3</v>
      </c>
      <c r="C211" s="11">
        <v>1.15</v>
      </c>
      <c r="D211" s="11">
        <v>1</v>
      </c>
      <c r="E211" s="11">
        <v>355</v>
      </c>
      <c r="F211" s="11">
        <v>54</v>
      </c>
      <c r="G211" s="11">
        <v>1</v>
      </c>
      <c r="H211" s="5">
        <f t="shared" si="0"/>
        <v>355.900277777778</v>
      </c>
      <c r="I211" s="11">
        <v>87</v>
      </c>
      <c r="J211" s="11">
        <v>9</v>
      </c>
      <c r="K211" s="11">
        <v>24</v>
      </c>
      <c r="L211" s="5">
        <f t="shared" si="1"/>
        <v>87.1566666666667</v>
      </c>
      <c r="M211" s="5">
        <f t="shared" si="15"/>
        <v>29.926179836596</v>
      </c>
      <c r="N211" s="5">
        <f t="shared" si="16"/>
        <v>1.48632280665934</v>
      </c>
      <c r="O211" s="23">
        <v>1.39</v>
      </c>
      <c r="P211" s="23">
        <v>1516.161</v>
      </c>
      <c r="Q211" s="5">
        <f t="shared" si="17"/>
        <v>1517.88732280666</v>
      </c>
      <c r="S211" s="19"/>
      <c r="T211" s="19"/>
      <c r="U211" s="19">
        <v>332.9047222</v>
      </c>
      <c r="V211" s="19"/>
      <c r="W211" s="19">
        <f t="shared" si="21"/>
        <v>355669.902553993</v>
      </c>
      <c r="X211" s="19">
        <f t="shared" si="20"/>
        <v>3056052.14334579</v>
      </c>
      <c r="Y211" s="19"/>
    </row>
    <row r="212" ht="14.25" customHeight="1" spans="1:25">
      <c r="A212" s="10" t="s">
        <v>234</v>
      </c>
      <c r="B212" s="11">
        <v>1.242</v>
      </c>
      <c r="C212" s="11">
        <v>1.121</v>
      </c>
      <c r="D212" s="11">
        <v>1</v>
      </c>
      <c r="E212" s="11">
        <v>353</v>
      </c>
      <c r="F212" s="11">
        <v>36</v>
      </c>
      <c r="G212" s="11">
        <v>13</v>
      </c>
      <c r="H212" s="5">
        <f t="shared" si="0"/>
        <v>353.603611111111</v>
      </c>
      <c r="I212" s="11">
        <v>87</v>
      </c>
      <c r="J212" s="11">
        <v>3</v>
      </c>
      <c r="K212" s="11">
        <v>43</v>
      </c>
      <c r="L212" s="5">
        <f t="shared" si="1"/>
        <v>87.0619444444444</v>
      </c>
      <c r="M212" s="5">
        <f t="shared" si="15"/>
        <v>24.1364216263336</v>
      </c>
      <c r="N212" s="5">
        <f t="shared" si="16"/>
        <v>1.23877134013093</v>
      </c>
      <c r="O212" s="23">
        <v>1.39</v>
      </c>
      <c r="P212" s="23">
        <v>1516.161</v>
      </c>
      <c r="Q212" s="5">
        <f t="shared" si="17"/>
        <v>1517.66877134013</v>
      </c>
      <c r="S212" s="19"/>
      <c r="T212" s="19"/>
      <c r="U212" s="19">
        <v>333.9047222</v>
      </c>
      <c r="V212" s="19"/>
      <c r="W212" s="19">
        <f t="shared" si="21"/>
        <v>355676.467093109</v>
      </c>
      <c r="X212" s="19">
        <f t="shared" si="20"/>
        <v>3056052.86161398</v>
      </c>
      <c r="Y212" s="19"/>
    </row>
    <row r="213" ht="14.25" customHeight="1" spans="1:25">
      <c r="A213" s="6" t="s">
        <v>235</v>
      </c>
      <c r="B213" s="9">
        <v>1.22</v>
      </c>
      <c r="C213" s="9">
        <v>1.11</v>
      </c>
      <c r="D213" s="9">
        <v>1</v>
      </c>
      <c r="E213" s="9">
        <v>16</v>
      </c>
      <c r="F213" s="9">
        <v>2</v>
      </c>
      <c r="G213" s="9">
        <v>2</v>
      </c>
      <c r="H213" s="8">
        <f t="shared" si="0"/>
        <v>16.0338888888889</v>
      </c>
      <c r="I213" s="9">
        <v>85</v>
      </c>
      <c r="J213" s="9">
        <v>0</v>
      </c>
      <c r="K213" s="9">
        <v>26</v>
      </c>
      <c r="L213" s="8">
        <f t="shared" si="1"/>
        <v>85.0072222222222</v>
      </c>
      <c r="M213" s="8">
        <f t="shared" si="15"/>
        <v>21.8333664885918</v>
      </c>
      <c r="N213" s="8">
        <f t="shared" si="16"/>
        <v>1.90739888954967</v>
      </c>
      <c r="O213" s="7">
        <v>1.55</v>
      </c>
      <c r="P213" s="7">
        <v>1513.134</v>
      </c>
      <c r="Q213" s="8">
        <f t="shared" si="17"/>
        <v>1515.48139888955</v>
      </c>
      <c r="R213" s="7" t="s">
        <v>236</v>
      </c>
      <c r="S213" s="7">
        <v>355794.545</v>
      </c>
      <c r="T213" s="7">
        <v>3055718.547</v>
      </c>
      <c r="U213" s="7">
        <v>290.8941667</v>
      </c>
      <c r="V213" s="7"/>
      <c r="W213" s="7">
        <f>$S$213+(H213*SIN(U213*3.141592654/180))</f>
        <v>355779.565486996</v>
      </c>
      <c r="X213" s="7">
        <f>$T$213+(H213*COS(U213*3.141592654/180))</f>
        <v>3055724.26537241</v>
      </c>
      <c r="Y213" s="7"/>
    </row>
    <row r="214" ht="14.25" customHeight="1" spans="1:25">
      <c r="A214" s="10" t="s">
        <v>237</v>
      </c>
      <c r="B214" s="11">
        <v>1.215</v>
      </c>
      <c r="C214" s="11">
        <v>1.108</v>
      </c>
      <c r="D214" s="11">
        <v>1</v>
      </c>
      <c r="E214" s="11">
        <v>13</v>
      </c>
      <c r="F214" s="11">
        <v>55</v>
      </c>
      <c r="G214" s="11">
        <v>22</v>
      </c>
      <c r="H214" s="5">
        <f t="shared" si="0"/>
        <v>13.9227777777778</v>
      </c>
      <c r="I214" s="11">
        <v>85</v>
      </c>
      <c r="J214" s="11">
        <v>43</v>
      </c>
      <c r="K214" s="11">
        <v>11</v>
      </c>
      <c r="L214" s="5">
        <f t="shared" si="1"/>
        <v>85.7197222222222</v>
      </c>
      <c r="M214" s="5">
        <f t="shared" si="15"/>
        <v>21.3802352407165</v>
      </c>
      <c r="N214" s="5">
        <f t="shared" si="16"/>
        <v>1.60018709125802</v>
      </c>
      <c r="O214">
        <v>1.55</v>
      </c>
      <c r="P214">
        <v>1513.134</v>
      </c>
      <c r="Q214" s="5">
        <f t="shared" si="17"/>
        <v>1515.17618709126</v>
      </c>
      <c r="T214" s="19"/>
      <c r="U214" s="19">
        <v>291.8941667</v>
      </c>
      <c r="V214" s="19"/>
      <c r="W214" s="19">
        <f t="shared" ref="W214:W245" si="22">$S$213+(H214*SIN(U214*3.141592654/180))</f>
        <v>355781.62641339</v>
      </c>
      <c r="X214" s="19">
        <f t="shared" ref="X214:X245" si="23">$T$213+(H214*COS(U214*3.141592654/180))</f>
        <v>3055723.7387108</v>
      </c>
      <c r="Y214" s="19"/>
    </row>
    <row r="215" ht="14.25" customHeight="1" spans="1:25">
      <c r="A215" s="10" t="s">
        <v>238</v>
      </c>
      <c r="B215" s="11">
        <v>1.225</v>
      </c>
      <c r="C215" s="11">
        <v>1.112</v>
      </c>
      <c r="D215" s="11">
        <v>1</v>
      </c>
      <c r="E215" s="11">
        <v>3</v>
      </c>
      <c r="F215" s="11">
        <v>14</v>
      </c>
      <c r="G215" s="11">
        <v>31</v>
      </c>
      <c r="H215" s="5">
        <f t="shared" si="0"/>
        <v>3.24194444444444</v>
      </c>
      <c r="I215" s="11">
        <v>85</v>
      </c>
      <c r="J215" s="11">
        <v>57</v>
      </c>
      <c r="K215" s="11">
        <v>24</v>
      </c>
      <c r="L215" s="5">
        <f t="shared" si="1"/>
        <v>85.9566666666667</v>
      </c>
      <c r="M215" s="5">
        <f t="shared" si="15"/>
        <v>22.3881347262921</v>
      </c>
      <c r="N215" s="5">
        <f t="shared" si="16"/>
        <v>1.58254694052526</v>
      </c>
      <c r="O215">
        <v>1.55</v>
      </c>
      <c r="P215">
        <v>1513.134</v>
      </c>
      <c r="Q215" s="5">
        <f t="shared" si="17"/>
        <v>1515.15454694053</v>
      </c>
      <c r="T215" s="19"/>
      <c r="U215" s="19">
        <v>292.8941667</v>
      </c>
      <c r="V215" s="19"/>
      <c r="W215" s="19">
        <f t="shared" si="22"/>
        <v>355791.558439673</v>
      </c>
      <c r="X215" s="19">
        <f t="shared" si="23"/>
        <v>3055719.80821417</v>
      </c>
      <c r="Y215" s="19"/>
    </row>
    <row r="216" ht="14.25" customHeight="1" spans="1:25">
      <c r="A216" s="10" t="s">
        <v>239</v>
      </c>
      <c r="B216" s="11">
        <v>1.168</v>
      </c>
      <c r="C216" s="11">
        <v>1.084</v>
      </c>
      <c r="D216" s="11">
        <v>1</v>
      </c>
      <c r="E216" s="11">
        <v>357</v>
      </c>
      <c r="F216" s="11">
        <v>59</v>
      </c>
      <c r="G216" s="11">
        <v>41</v>
      </c>
      <c r="H216" s="5">
        <f t="shared" si="0"/>
        <v>357.994722222222</v>
      </c>
      <c r="I216" s="11">
        <v>87</v>
      </c>
      <c r="J216" s="11">
        <v>34</v>
      </c>
      <c r="K216" s="11">
        <v>13</v>
      </c>
      <c r="L216" s="5">
        <f t="shared" si="1"/>
        <v>87.5702777777778</v>
      </c>
      <c r="M216" s="5">
        <f t="shared" si="15"/>
        <v>16.7698062594625</v>
      </c>
      <c r="N216" s="5">
        <f t="shared" si="16"/>
        <v>0.711577950095213</v>
      </c>
      <c r="O216">
        <v>1.55</v>
      </c>
      <c r="P216">
        <v>1513.134</v>
      </c>
      <c r="Q216" s="5">
        <f t="shared" si="17"/>
        <v>1514.3115779501</v>
      </c>
      <c r="T216" s="19"/>
      <c r="U216" s="19">
        <v>293.8941667</v>
      </c>
      <c r="V216" s="19"/>
      <c r="W216" s="19">
        <f t="shared" si="22"/>
        <v>355467.232144632</v>
      </c>
      <c r="X216" s="19">
        <f t="shared" si="23"/>
        <v>3055863.55222697</v>
      </c>
      <c r="Y216" s="19"/>
    </row>
    <row r="217" ht="14.25" customHeight="1" spans="1:25">
      <c r="A217" s="10" t="s">
        <v>240</v>
      </c>
      <c r="B217" s="11">
        <v>1.15</v>
      </c>
      <c r="C217" s="11">
        <v>1.075</v>
      </c>
      <c r="D217" s="11">
        <v>1</v>
      </c>
      <c r="E217" s="11">
        <v>10</v>
      </c>
      <c r="F217" s="11">
        <v>38</v>
      </c>
      <c r="G217" s="11">
        <v>34</v>
      </c>
      <c r="H217" s="5">
        <f t="shared" si="0"/>
        <v>10.6427777777778</v>
      </c>
      <c r="I217" s="11">
        <v>87</v>
      </c>
      <c r="J217" s="11">
        <v>47</v>
      </c>
      <c r="K217" s="11">
        <v>32</v>
      </c>
      <c r="L217" s="5">
        <f t="shared" si="1"/>
        <v>87.7922222222222</v>
      </c>
      <c r="M217" s="5">
        <f t="shared" si="15"/>
        <v>14.9777391494817</v>
      </c>
      <c r="N217" s="5">
        <f t="shared" si="16"/>
        <v>0.577422905943416</v>
      </c>
      <c r="O217">
        <v>1.55</v>
      </c>
      <c r="P217">
        <v>1513.134</v>
      </c>
      <c r="Q217" s="5">
        <f t="shared" si="17"/>
        <v>1514.18642290594</v>
      </c>
      <c r="T217" s="19"/>
      <c r="U217" s="19">
        <v>294.8941667</v>
      </c>
      <c r="V217" s="19"/>
      <c r="W217" s="19">
        <f t="shared" si="22"/>
        <v>355784.891075963</v>
      </c>
      <c r="X217" s="19">
        <f t="shared" si="23"/>
        <v>3055723.02700776</v>
      </c>
      <c r="Y217" s="19"/>
    </row>
    <row r="218" ht="14.25" customHeight="1" spans="1:25">
      <c r="A218" s="10" t="s">
        <v>241</v>
      </c>
      <c r="B218" s="11">
        <v>1.11</v>
      </c>
      <c r="C218" s="11">
        <v>1.055</v>
      </c>
      <c r="D218" s="11">
        <v>1</v>
      </c>
      <c r="E218" s="11">
        <v>342</v>
      </c>
      <c r="F218" s="11">
        <v>59</v>
      </c>
      <c r="G218" s="11">
        <v>34</v>
      </c>
      <c r="H218" s="5">
        <f t="shared" si="0"/>
        <v>342.992777777778</v>
      </c>
      <c r="I218" s="11">
        <v>91</v>
      </c>
      <c r="J218" s="11">
        <v>35</v>
      </c>
      <c r="K218" s="11">
        <v>38</v>
      </c>
      <c r="L218" s="5">
        <f t="shared" si="1"/>
        <v>91.5938888888889</v>
      </c>
      <c r="M218" s="5">
        <f t="shared" si="15"/>
        <v>10.9914895705889</v>
      </c>
      <c r="N218" s="5">
        <f t="shared" si="16"/>
        <v>-0.305846850749664</v>
      </c>
      <c r="O218">
        <v>1.55</v>
      </c>
      <c r="P218">
        <v>1513.134</v>
      </c>
      <c r="Q218" s="5">
        <f t="shared" si="17"/>
        <v>1513.32315314925</v>
      </c>
      <c r="T218" s="19"/>
      <c r="U218" s="19">
        <v>295.8941667</v>
      </c>
      <c r="V218" s="19"/>
      <c r="W218" s="19">
        <f t="shared" si="22"/>
        <v>355485.987927121</v>
      </c>
      <c r="X218" s="19">
        <f t="shared" si="23"/>
        <v>3055868.33544543</v>
      </c>
      <c r="Y218" s="19"/>
    </row>
    <row r="219" ht="14.25" customHeight="1" spans="1:25">
      <c r="A219" s="10" t="s">
        <v>242</v>
      </c>
      <c r="B219" s="11">
        <v>1.095</v>
      </c>
      <c r="C219" s="11">
        <v>1.048</v>
      </c>
      <c r="D219" s="11">
        <v>1</v>
      </c>
      <c r="E219" s="11">
        <v>1</v>
      </c>
      <c r="F219" s="11">
        <v>56</v>
      </c>
      <c r="G219" s="11">
        <v>49</v>
      </c>
      <c r="H219" s="5">
        <f t="shared" si="0"/>
        <v>1.94694444444444</v>
      </c>
      <c r="I219" s="11">
        <v>91</v>
      </c>
      <c r="J219" s="11">
        <v>53</v>
      </c>
      <c r="K219" s="11">
        <v>45</v>
      </c>
      <c r="L219" s="5">
        <f t="shared" si="1"/>
        <v>91.8958333333333</v>
      </c>
      <c r="M219" s="5">
        <f t="shared" si="15"/>
        <v>9.48960271021021</v>
      </c>
      <c r="N219" s="5">
        <f t="shared" si="16"/>
        <v>-0.31411168295371</v>
      </c>
      <c r="O219">
        <v>1.55</v>
      </c>
      <c r="P219">
        <v>1513.134</v>
      </c>
      <c r="Q219" s="5">
        <f t="shared" si="17"/>
        <v>1513.32188831705</v>
      </c>
      <c r="T219" s="19"/>
      <c r="U219" s="19">
        <v>296.8941667</v>
      </c>
      <c r="V219" s="19"/>
      <c r="W219" s="19">
        <f t="shared" si="22"/>
        <v>355792.808630083</v>
      </c>
      <c r="X219" s="19">
        <f t="shared" si="23"/>
        <v>3055719.42768847</v>
      </c>
      <c r="Y219" s="19"/>
    </row>
    <row r="220" ht="14.25" customHeight="1" spans="1:25">
      <c r="A220" s="10" t="s">
        <v>243</v>
      </c>
      <c r="B220" s="11">
        <v>1.078</v>
      </c>
      <c r="C220" s="11">
        <v>1.039</v>
      </c>
      <c r="D220" s="11">
        <v>1</v>
      </c>
      <c r="E220" s="11">
        <v>316</v>
      </c>
      <c r="F220" s="11">
        <v>22</v>
      </c>
      <c r="G220" s="11">
        <v>53</v>
      </c>
      <c r="H220" s="5">
        <f t="shared" si="0"/>
        <v>316.381388888889</v>
      </c>
      <c r="I220" s="11">
        <v>99</v>
      </c>
      <c r="J220" s="11">
        <v>20</v>
      </c>
      <c r="K220" s="11">
        <v>32</v>
      </c>
      <c r="L220" s="5">
        <f t="shared" si="1"/>
        <v>99.3422222222222</v>
      </c>
      <c r="M220" s="5">
        <f t="shared" si="15"/>
        <v>7.59445942269891</v>
      </c>
      <c r="N220" s="5">
        <f t="shared" si="16"/>
        <v>-1.24938767963802</v>
      </c>
      <c r="O220">
        <v>1.55</v>
      </c>
      <c r="P220">
        <v>1513.134</v>
      </c>
      <c r="Q220" s="5">
        <f t="shared" si="17"/>
        <v>1512.39561232036</v>
      </c>
      <c r="T220" s="19"/>
      <c r="U220" s="19">
        <v>297.8941667</v>
      </c>
      <c r="V220" s="19"/>
      <c r="W220" s="19">
        <f t="shared" si="22"/>
        <v>355514.922931618</v>
      </c>
      <c r="X220" s="19">
        <f t="shared" si="23"/>
        <v>3055866.56281709</v>
      </c>
      <c r="Y220" s="19"/>
    </row>
    <row r="221" ht="14.25" customHeight="1" spans="1:25">
      <c r="A221" s="10" t="s">
        <v>244</v>
      </c>
      <c r="B221" s="11">
        <v>1.07</v>
      </c>
      <c r="C221" s="11">
        <v>1.035</v>
      </c>
      <c r="D221" s="11">
        <v>1</v>
      </c>
      <c r="E221" s="11">
        <v>302</v>
      </c>
      <c r="F221" s="11">
        <v>13</v>
      </c>
      <c r="G221" s="11">
        <v>53</v>
      </c>
      <c r="H221" s="5">
        <f t="shared" si="0"/>
        <v>302.231388888889</v>
      </c>
      <c r="I221" s="11">
        <v>102</v>
      </c>
      <c r="J221" s="11">
        <v>42</v>
      </c>
      <c r="K221" s="11">
        <v>58</v>
      </c>
      <c r="L221" s="5">
        <f t="shared" si="1"/>
        <v>102.716111111111</v>
      </c>
      <c r="M221" s="5">
        <f t="shared" si="15"/>
        <v>6.66082873338476</v>
      </c>
      <c r="N221" s="5">
        <f t="shared" si="16"/>
        <v>-1.50305080360223</v>
      </c>
      <c r="O221">
        <v>1.55</v>
      </c>
      <c r="P221">
        <v>1513.134</v>
      </c>
      <c r="Q221" s="5">
        <f t="shared" si="17"/>
        <v>1512.1459491964</v>
      </c>
      <c r="T221" s="19"/>
      <c r="U221" s="19">
        <v>298.8941667</v>
      </c>
      <c r="V221" s="19"/>
      <c r="W221" s="19">
        <f t="shared" si="22"/>
        <v>355529.937270825</v>
      </c>
      <c r="X221" s="19">
        <f t="shared" si="23"/>
        <v>3055864.58316706</v>
      </c>
      <c r="Y221" s="19"/>
    </row>
    <row r="222" ht="14.25" customHeight="1" spans="1:25">
      <c r="A222" s="10" t="s">
        <v>245</v>
      </c>
      <c r="B222" s="11">
        <v>1.04</v>
      </c>
      <c r="C222" s="11">
        <v>1.02</v>
      </c>
      <c r="D222" s="11">
        <v>1</v>
      </c>
      <c r="E222" s="11">
        <v>304</v>
      </c>
      <c r="F222" s="11">
        <v>0</v>
      </c>
      <c r="G222" s="11">
        <v>53</v>
      </c>
      <c r="H222" s="5">
        <f t="shared" si="0"/>
        <v>304.014722222222</v>
      </c>
      <c r="I222" s="11">
        <v>116</v>
      </c>
      <c r="J222" s="11">
        <v>35</v>
      </c>
      <c r="K222" s="11">
        <v>42</v>
      </c>
      <c r="L222" s="5">
        <f t="shared" si="1"/>
        <v>116.595</v>
      </c>
      <c r="M222" s="5">
        <f t="shared" si="15"/>
        <v>3.19832668675939</v>
      </c>
      <c r="N222" s="5">
        <f t="shared" si="16"/>
        <v>-1.60125361882503</v>
      </c>
      <c r="O222">
        <v>1.55</v>
      </c>
      <c r="P222">
        <v>1513.134</v>
      </c>
      <c r="Q222" s="5">
        <f t="shared" si="17"/>
        <v>1512.06274638117</v>
      </c>
      <c r="T222" s="19"/>
      <c r="U222" s="19">
        <v>299.8941667</v>
      </c>
      <c r="V222" s="19"/>
      <c r="W222" s="19">
        <f t="shared" si="22"/>
        <v>355530.98019804</v>
      </c>
      <c r="X222" s="19">
        <f t="shared" si="23"/>
        <v>3055870.06777909</v>
      </c>
      <c r="Y222" s="19"/>
    </row>
    <row r="223" ht="14.25" customHeight="1" spans="1:25">
      <c r="A223" s="10" t="s">
        <v>246</v>
      </c>
      <c r="B223" s="11">
        <v>1.06</v>
      </c>
      <c r="C223" s="11">
        <v>1.03</v>
      </c>
      <c r="D223" s="11">
        <v>1</v>
      </c>
      <c r="E223" s="11">
        <v>347</v>
      </c>
      <c r="F223" s="11">
        <v>7</v>
      </c>
      <c r="G223" s="11">
        <v>33</v>
      </c>
      <c r="H223" s="5">
        <f t="shared" si="0"/>
        <v>347.125833333333</v>
      </c>
      <c r="I223" s="11">
        <v>99</v>
      </c>
      <c r="J223" s="11">
        <v>0</v>
      </c>
      <c r="K223" s="11">
        <v>25</v>
      </c>
      <c r="L223" s="5">
        <f t="shared" si="1"/>
        <v>99.0069444444444</v>
      </c>
      <c r="M223" s="5">
        <f t="shared" si="15"/>
        <v>5.85294474156016</v>
      </c>
      <c r="N223" s="5">
        <f t="shared" si="16"/>
        <v>-0.927742583696725</v>
      </c>
      <c r="O223">
        <v>1.55</v>
      </c>
      <c r="P223">
        <v>1513.134</v>
      </c>
      <c r="Q223" s="5">
        <f t="shared" si="17"/>
        <v>1512.7262574163</v>
      </c>
      <c r="T223" s="19"/>
      <c r="U223" s="19">
        <v>300.8941667</v>
      </c>
      <c r="V223" s="19"/>
      <c r="W223" s="19">
        <f t="shared" si="22"/>
        <v>355496.67035716</v>
      </c>
      <c r="X223" s="19">
        <f t="shared" si="23"/>
        <v>3055896.7801095</v>
      </c>
      <c r="Y223" s="19"/>
    </row>
    <row r="224" ht="14.25" customHeight="1" spans="1:25">
      <c r="A224" s="10" t="s">
        <v>247</v>
      </c>
      <c r="B224" s="11">
        <v>1.06</v>
      </c>
      <c r="C224" s="11">
        <v>1.03</v>
      </c>
      <c r="D224" s="11">
        <v>1</v>
      </c>
      <c r="E224" s="11">
        <v>237</v>
      </c>
      <c r="F224" s="11">
        <v>41</v>
      </c>
      <c r="G224" s="11">
        <v>31</v>
      </c>
      <c r="H224" s="5">
        <f t="shared" si="0"/>
        <v>237.691944444444</v>
      </c>
      <c r="I224" s="11">
        <v>115</v>
      </c>
      <c r="J224" s="11">
        <v>58</v>
      </c>
      <c r="K224" s="11">
        <v>48</v>
      </c>
      <c r="L224" s="5">
        <f t="shared" si="1"/>
        <v>115.98</v>
      </c>
      <c r="M224" s="5">
        <f t="shared" si="15"/>
        <v>4.84863438160701</v>
      </c>
      <c r="N224" s="5">
        <f t="shared" si="16"/>
        <v>-2.36274224644595</v>
      </c>
      <c r="O224">
        <v>1.55</v>
      </c>
      <c r="P224">
        <v>1513.134</v>
      </c>
      <c r="Q224" s="5">
        <f t="shared" si="17"/>
        <v>1511.29125775355</v>
      </c>
      <c r="T224" s="19"/>
      <c r="U224" s="19">
        <v>301.8941667</v>
      </c>
      <c r="V224" s="19"/>
      <c r="W224" s="19">
        <f t="shared" si="22"/>
        <v>355592.738481985</v>
      </c>
      <c r="X224" s="19">
        <f t="shared" si="23"/>
        <v>3055844.13199011</v>
      </c>
      <c r="Y224" s="19"/>
    </row>
    <row r="225" ht="14.25" customHeight="1" spans="1:25">
      <c r="A225" s="10" t="s">
        <v>248</v>
      </c>
      <c r="B225" s="11">
        <v>1.082</v>
      </c>
      <c r="C225" s="11">
        <v>1.041</v>
      </c>
      <c r="D225" s="11">
        <v>1</v>
      </c>
      <c r="E225" s="11">
        <v>262</v>
      </c>
      <c r="F225" s="11">
        <v>21</v>
      </c>
      <c r="G225" s="11">
        <v>45</v>
      </c>
      <c r="H225" s="5">
        <f t="shared" si="0"/>
        <v>262.3625</v>
      </c>
      <c r="I225" s="11">
        <v>107</v>
      </c>
      <c r="J225" s="11">
        <v>19</v>
      </c>
      <c r="K225" s="11">
        <v>20</v>
      </c>
      <c r="L225" s="5">
        <f t="shared" si="1"/>
        <v>107.322222222222</v>
      </c>
      <c r="M225" s="5">
        <f t="shared" si="15"/>
        <v>7.47305213821222</v>
      </c>
      <c r="N225" s="5">
        <f t="shared" si="16"/>
        <v>-2.33077653860297</v>
      </c>
      <c r="O225">
        <v>1.55</v>
      </c>
      <c r="P225">
        <v>1513.134</v>
      </c>
      <c r="Q225" s="5">
        <f t="shared" si="17"/>
        <v>1511.3122234614</v>
      </c>
      <c r="T225" s="19"/>
      <c r="U225" s="19">
        <v>302.8941667</v>
      </c>
      <c r="V225" s="19"/>
      <c r="W225" s="19">
        <f t="shared" si="22"/>
        <v>355574.245725688</v>
      </c>
      <c r="X225" s="19">
        <f t="shared" si="23"/>
        <v>3055861.03317878</v>
      </c>
      <c r="Y225" s="19"/>
    </row>
    <row r="226" ht="14.25" customHeight="1" spans="1:25">
      <c r="A226" s="10" t="s">
        <v>249</v>
      </c>
      <c r="B226" s="11">
        <v>1.132</v>
      </c>
      <c r="C226" s="11">
        <v>1.066</v>
      </c>
      <c r="D226" s="11">
        <v>1</v>
      </c>
      <c r="E226" s="11">
        <v>232</v>
      </c>
      <c r="F226" s="11">
        <v>45</v>
      </c>
      <c r="G226" s="11">
        <v>20</v>
      </c>
      <c r="H226" s="5">
        <f t="shared" si="0"/>
        <v>232.755555555556</v>
      </c>
      <c r="I226" s="11">
        <v>105</v>
      </c>
      <c r="J226" s="11">
        <v>48</v>
      </c>
      <c r="K226" s="11">
        <v>49</v>
      </c>
      <c r="L226" s="5">
        <f t="shared" si="1"/>
        <v>105.813611111111</v>
      </c>
      <c r="M226" s="5">
        <f t="shared" si="15"/>
        <v>12.2197540290821</v>
      </c>
      <c r="N226" s="5">
        <f t="shared" si="16"/>
        <v>-3.46097741290162</v>
      </c>
      <c r="O226">
        <v>1.55</v>
      </c>
      <c r="P226">
        <v>1513.134</v>
      </c>
      <c r="Q226" s="5">
        <f t="shared" si="17"/>
        <v>1510.1570225871</v>
      </c>
      <c r="T226" s="19"/>
      <c r="U226" s="19">
        <v>303.8941667</v>
      </c>
      <c r="V226" s="19"/>
      <c r="W226" s="19">
        <f t="shared" si="22"/>
        <v>355601.34181372</v>
      </c>
      <c r="X226" s="19">
        <f t="shared" si="23"/>
        <v>3055848.34560343</v>
      </c>
      <c r="Y226" s="19"/>
    </row>
    <row r="227" ht="14.25" customHeight="1" spans="1:25">
      <c r="A227" s="10" t="s">
        <v>250</v>
      </c>
      <c r="B227" s="11">
        <v>0.6</v>
      </c>
      <c r="C227" s="11">
        <v>0.55</v>
      </c>
      <c r="D227" s="11">
        <v>0.5</v>
      </c>
      <c r="E227" s="11">
        <v>221</v>
      </c>
      <c r="F227" s="11">
        <v>47</v>
      </c>
      <c r="G227" s="11">
        <v>6</v>
      </c>
      <c r="H227" s="5">
        <f t="shared" si="0"/>
        <v>221.785</v>
      </c>
      <c r="I227" s="11">
        <v>112</v>
      </c>
      <c r="J227" s="11">
        <v>52</v>
      </c>
      <c r="K227" s="11">
        <v>21</v>
      </c>
      <c r="L227" s="5">
        <f t="shared" si="1"/>
        <v>112.8725</v>
      </c>
      <c r="M227" s="5">
        <f t="shared" si="15"/>
        <v>8.48926483160684</v>
      </c>
      <c r="N227" s="5">
        <f t="shared" si="16"/>
        <v>-3.58120523496095</v>
      </c>
      <c r="O227">
        <v>1.55</v>
      </c>
      <c r="P227">
        <v>1513.134</v>
      </c>
      <c r="Q227" s="5">
        <f t="shared" si="17"/>
        <v>1510.55279476504</v>
      </c>
      <c r="T227" s="19"/>
      <c r="U227" s="19">
        <v>304.8941667</v>
      </c>
      <c r="V227" s="19"/>
      <c r="W227" s="19">
        <f t="shared" si="22"/>
        <v>355612.634698189</v>
      </c>
      <c r="X227" s="19">
        <f t="shared" si="23"/>
        <v>3055845.42185298</v>
      </c>
      <c r="Y227" s="19"/>
    </row>
    <row r="228" ht="14.25" customHeight="1" spans="1:25">
      <c r="A228" s="10" t="s">
        <v>251</v>
      </c>
      <c r="B228" s="11">
        <v>1.912</v>
      </c>
      <c r="C228" s="11">
        <v>1.858</v>
      </c>
      <c r="D228" s="11">
        <v>1.8</v>
      </c>
      <c r="E228" s="11">
        <v>217</v>
      </c>
      <c r="F228" s="11">
        <v>9</v>
      </c>
      <c r="G228" s="11">
        <v>3</v>
      </c>
      <c r="H228" s="5">
        <f t="shared" si="0"/>
        <v>217.150833333333</v>
      </c>
      <c r="I228" s="11">
        <v>104</v>
      </c>
      <c r="J228" s="11">
        <v>2</v>
      </c>
      <c r="K228" s="11">
        <v>30</v>
      </c>
      <c r="L228" s="5">
        <f t="shared" si="1"/>
        <v>104.041666666667</v>
      </c>
      <c r="M228" s="5">
        <f t="shared" si="15"/>
        <v>10.5406775067839</v>
      </c>
      <c r="N228" s="5">
        <f t="shared" si="16"/>
        <v>-2.63622946155295</v>
      </c>
      <c r="O228">
        <v>1.55</v>
      </c>
      <c r="P228">
        <v>1513.134</v>
      </c>
      <c r="Q228" s="5">
        <f t="shared" si="17"/>
        <v>1510.18977053845</v>
      </c>
      <c r="T228" s="19"/>
      <c r="U228" s="19">
        <v>305.8941667</v>
      </c>
      <c r="V228" s="19"/>
      <c r="W228" s="19">
        <f t="shared" si="22"/>
        <v>355618.630820112</v>
      </c>
      <c r="X228" s="19">
        <f t="shared" si="23"/>
        <v>3055845.86033682</v>
      </c>
      <c r="Y228" s="19"/>
    </row>
    <row r="229" ht="14.25" customHeight="1" spans="1:25">
      <c r="A229" s="10" t="s">
        <v>252</v>
      </c>
      <c r="B229" s="11">
        <v>1.12</v>
      </c>
      <c r="C229" s="11">
        <v>1.055</v>
      </c>
      <c r="D229" s="11">
        <v>1</v>
      </c>
      <c r="E229" s="11">
        <v>180</v>
      </c>
      <c r="F229" s="11">
        <v>24</v>
      </c>
      <c r="G229" s="11">
        <v>22</v>
      </c>
      <c r="H229" s="5">
        <f t="shared" si="0"/>
        <v>180.406111111111</v>
      </c>
      <c r="I229" s="11">
        <v>107</v>
      </c>
      <c r="J229" s="11">
        <v>29</v>
      </c>
      <c r="K229" s="11">
        <v>31</v>
      </c>
      <c r="L229" s="5">
        <f t="shared" si="1"/>
        <v>107.491944444444</v>
      </c>
      <c r="M229" s="5">
        <f t="shared" si="15"/>
        <v>10.915879781821</v>
      </c>
      <c r="N229" s="5">
        <f t="shared" si="16"/>
        <v>-3.44007644837774</v>
      </c>
      <c r="O229">
        <v>1.55</v>
      </c>
      <c r="P229">
        <v>1513.134</v>
      </c>
      <c r="Q229" s="5">
        <f t="shared" si="17"/>
        <v>1510.18892355162</v>
      </c>
      <c r="T229" s="19"/>
      <c r="U229" s="19">
        <v>306.8941667</v>
      </c>
      <c r="V229" s="19"/>
      <c r="W229" s="19">
        <f t="shared" si="22"/>
        <v>355650.265973433</v>
      </c>
      <c r="X229" s="19">
        <f t="shared" si="23"/>
        <v>3055826.85178946</v>
      </c>
      <c r="Y229" s="19"/>
    </row>
    <row r="230" ht="14.25" customHeight="1" spans="1:25">
      <c r="A230" s="10" t="s">
        <v>253</v>
      </c>
      <c r="B230" s="11">
        <v>1.11</v>
      </c>
      <c r="C230" s="11">
        <v>1.055</v>
      </c>
      <c r="D230" s="11">
        <v>1</v>
      </c>
      <c r="E230" s="11">
        <v>178</v>
      </c>
      <c r="F230" s="11">
        <v>35</v>
      </c>
      <c r="G230" s="11">
        <v>13</v>
      </c>
      <c r="H230" s="5">
        <f t="shared" si="0"/>
        <v>178.586944444444</v>
      </c>
      <c r="I230" s="11">
        <v>107</v>
      </c>
      <c r="J230" s="11">
        <v>1</v>
      </c>
      <c r="K230" s="11">
        <v>11</v>
      </c>
      <c r="L230" s="5">
        <f t="shared" si="1"/>
        <v>107.019722222222</v>
      </c>
      <c r="M230" s="5">
        <f t="shared" si="15"/>
        <v>10.0575882435692</v>
      </c>
      <c r="N230" s="5">
        <f t="shared" si="16"/>
        <v>-3.0786993036151</v>
      </c>
      <c r="O230">
        <v>1.55</v>
      </c>
      <c r="P230">
        <v>1513.134</v>
      </c>
      <c r="Q230" s="5">
        <f t="shared" si="17"/>
        <v>1510.55030069638</v>
      </c>
      <c r="T230" s="19"/>
      <c r="U230" s="19">
        <v>307.8941667</v>
      </c>
      <c r="V230" s="19"/>
      <c r="W230" s="19">
        <f t="shared" si="22"/>
        <v>355653.61371626</v>
      </c>
      <c r="X230" s="19">
        <f t="shared" si="23"/>
        <v>3055828.23596932</v>
      </c>
      <c r="Y230" s="19"/>
    </row>
    <row r="231" ht="14.25" customHeight="1" spans="1:25">
      <c r="A231" s="10" t="s">
        <v>254</v>
      </c>
      <c r="B231" s="11">
        <v>1.09</v>
      </c>
      <c r="C231" s="11">
        <v>1.045</v>
      </c>
      <c r="D231" s="11">
        <v>1</v>
      </c>
      <c r="E231" s="11">
        <v>174</v>
      </c>
      <c r="F231" s="11">
        <v>25</v>
      </c>
      <c r="G231" s="11">
        <v>40</v>
      </c>
      <c r="H231" s="5">
        <f t="shared" si="0"/>
        <v>174.427777777778</v>
      </c>
      <c r="I231" s="11">
        <v>109</v>
      </c>
      <c r="J231" s="11">
        <v>43</v>
      </c>
      <c r="K231" s="11">
        <v>46</v>
      </c>
      <c r="L231" s="5">
        <f t="shared" si="1"/>
        <v>109.729444444444</v>
      </c>
      <c r="M231" s="5">
        <f t="shared" si="15"/>
        <v>7.97436353818469</v>
      </c>
      <c r="N231" s="5">
        <f t="shared" si="16"/>
        <v>-2.85985978756526</v>
      </c>
      <c r="O231">
        <v>1.55</v>
      </c>
      <c r="P231">
        <v>1513.134</v>
      </c>
      <c r="Q231" s="5">
        <f t="shared" si="17"/>
        <v>1510.77914021243</v>
      </c>
      <c r="T231" s="19"/>
      <c r="U231" s="19">
        <v>308.8941667</v>
      </c>
      <c r="V231" s="19"/>
      <c r="W231" s="19">
        <f t="shared" si="22"/>
        <v>355658.786626104</v>
      </c>
      <c r="X231" s="19">
        <f t="shared" si="23"/>
        <v>3055828.06737974</v>
      </c>
      <c r="Y231" s="19"/>
    </row>
    <row r="232" ht="14.25" customHeight="1" spans="1:25">
      <c r="A232" s="10" t="s">
        <v>255</v>
      </c>
      <c r="B232" s="11">
        <v>1.063</v>
      </c>
      <c r="C232" s="11">
        <v>1.031</v>
      </c>
      <c r="D232" s="11">
        <v>1</v>
      </c>
      <c r="E232" s="11">
        <v>161</v>
      </c>
      <c r="F232" s="11">
        <v>31</v>
      </c>
      <c r="G232" s="11">
        <v>44</v>
      </c>
      <c r="H232" s="5">
        <f t="shared" si="0"/>
        <v>161.528888888889</v>
      </c>
      <c r="I232" s="11">
        <v>107</v>
      </c>
      <c r="J232" s="11">
        <v>35</v>
      </c>
      <c r="K232" s="11">
        <v>21</v>
      </c>
      <c r="L232" s="5">
        <f t="shared" si="1"/>
        <v>107.589166666667</v>
      </c>
      <c r="M232" s="5">
        <f t="shared" si="15"/>
        <v>5.72469288450164</v>
      </c>
      <c r="N232" s="5">
        <f t="shared" si="16"/>
        <v>-1.81478829357493</v>
      </c>
      <c r="O232">
        <v>1.55</v>
      </c>
      <c r="P232">
        <v>1513.134</v>
      </c>
      <c r="Q232" s="5">
        <f t="shared" si="17"/>
        <v>1511.83821170642</v>
      </c>
      <c r="T232" s="19"/>
      <c r="U232" s="19">
        <v>309.8941667</v>
      </c>
      <c r="V232" s="19"/>
      <c r="W232" s="19">
        <f t="shared" si="22"/>
        <v>355670.615117315</v>
      </c>
      <c r="X232" s="19">
        <f t="shared" si="23"/>
        <v>3055822.14702955</v>
      </c>
      <c r="Y232" s="19"/>
    </row>
    <row r="233" ht="14.25" customHeight="1" spans="1:25">
      <c r="A233" s="10" t="s">
        <v>256</v>
      </c>
      <c r="B233" s="11">
        <v>1.065</v>
      </c>
      <c r="C233" s="11">
        <v>1.033</v>
      </c>
      <c r="D233" s="11">
        <v>1</v>
      </c>
      <c r="E233" s="11">
        <v>185</v>
      </c>
      <c r="F233" s="11">
        <v>7</v>
      </c>
      <c r="G233" s="11">
        <v>31</v>
      </c>
      <c r="H233" s="5">
        <f t="shared" si="0"/>
        <v>185.125277777778</v>
      </c>
      <c r="I233" s="11">
        <v>109</v>
      </c>
      <c r="J233" s="11">
        <v>8</v>
      </c>
      <c r="K233" s="11">
        <v>39</v>
      </c>
      <c r="L233" s="5">
        <f t="shared" si="1"/>
        <v>109.144166666667</v>
      </c>
      <c r="M233" s="5">
        <f t="shared" si="15"/>
        <v>5.80093330294306</v>
      </c>
      <c r="N233" s="5">
        <f t="shared" si="16"/>
        <v>-2.01376246959167</v>
      </c>
      <c r="O233">
        <v>1.55</v>
      </c>
      <c r="P233">
        <v>1513.134</v>
      </c>
      <c r="Q233" s="5">
        <f t="shared" si="17"/>
        <v>1511.63723753041</v>
      </c>
      <c r="T233" s="19"/>
      <c r="U233" s="19">
        <v>310.8941667</v>
      </c>
      <c r="V233" s="19"/>
      <c r="W233" s="19">
        <f t="shared" si="22"/>
        <v>355654.605077041</v>
      </c>
      <c r="X233" s="19">
        <f t="shared" si="23"/>
        <v>3055839.74182841</v>
      </c>
      <c r="Y233" s="19"/>
    </row>
    <row r="234" ht="14.25" customHeight="1" spans="1:25">
      <c r="A234" s="10" t="s">
        <v>257</v>
      </c>
      <c r="B234" s="11">
        <v>1.042</v>
      </c>
      <c r="C234" s="11">
        <v>1.021</v>
      </c>
      <c r="D234" s="11">
        <v>1</v>
      </c>
      <c r="E234" s="11">
        <v>182</v>
      </c>
      <c r="F234" s="11">
        <v>5</v>
      </c>
      <c r="G234" s="11">
        <v>25</v>
      </c>
      <c r="H234" s="5">
        <f t="shared" si="0"/>
        <v>182.090277777778</v>
      </c>
      <c r="I234" s="11">
        <v>105</v>
      </c>
      <c r="J234" s="11">
        <v>38</v>
      </c>
      <c r="K234" s="11">
        <v>23</v>
      </c>
      <c r="L234" s="5">
        <f t="shared" si="1"/>
        <v>105.639722222222</v>
      </c>
      <c r="M234" s="5">
        <f t="shared" si="15"/>
        <v>3.8947548337321</v>
      </c>
      <c r="N234" s="5">
        <f t="shared" si="16"/>
        <v>-1.09034631507392</v>
      </c>
      <c r="O234">
        <v>1.55</v>
      </c>
      <c r="P234">
        <v>1513.134</v>
      </c>
      <c r="Q234" s="5">
        <f t="shared" si="17"/>
        <v>1512.57265368493</v>
      </c>
      <c r="T234" s="19"/>
      <c r="U234" s="19">
        <v>311.8941667</v>
      </c>
      <c r="V234" s="19"/>
      <c r="W234" s="19">
        <f t="shared" si="22"/>
        <v>355659.000723859</v>
      </c>
      <c r="X234" s="19">
        <f t="shared" si="23"/>
        <v>3055840.13901646</v>
      </c>
      <c r="Y234" s="19"/>
    </row>
    <row r="235" ht="14.25" customHeight="1" spans="1:25">
      <c r="A235" s="10" t="s">
        <v>258</v>
      </c>
      <c r="B235" s="11">
        <v>1.082</v>
      </c>
      <c r="C235" s="11">
        <v>1.041</v>
      </c>
      <c r="D235" s="11">
        <v>1</v>
      </c>
      <c r="E235" s="11">
        <v>12</v>
      </c>
      <c r="F235" s="11">
        <v>41</v>
      </c>
      <c r="G235" s="11">
        <v>12</v>
      </c>
      <c r="H235" s="5">
        <f t="shared" si="0"/>
        <v>12.6866666666667</v>
      </c>
      <c r="I235" s="11">
        <v>86</v>
      </c>
      <c r="J235" s="11">
        <v>31</v>
      </c>
      <c r="K235" s="11">
        <v>53</v>
      </c>
      <c r="L235" s="5">
        <f t="shared" si="1"/>
        <v>86.5313888888889</v>
      </c>
      <c r="M235" s="5">
        <f t="shared" si="15"/>
        <v>8.16998425056318</v>
      </c>
      <c r="N235" s="5">
        <f t="shared" si="16"/>
        <v>0.495205210158052</v>
      </c>
      <c r="O235">
        <v>1.55</v>
      </c>
      <c r="P235">
        <v>1513.134</v>
      </c>
      <c r="Q235" s="5">
        <f t="shared" si="17"/>
        <v>1514.13820521016</v>
      </c>
      <c r="T235" s="19"/>
      <c r="U235" s="19">
        <v>312.8941667</v>
      </c>
      <c r="V235" s="19"/>
      <c r="W235" s="19">
        <f t="shared" si="22"/>
        <v>355785.250593237</v>
      </c>
      <c r="X235" s="19">
        <f t="shared" si="23"/>
        <v>3055727.18213254</v>
      </c>
      <c r="Y235" s="19"/>
    </row>
    <row r="236" ht="14.25" customHeight="1" spans="1:25">
      <c r="A236" s="10" t="s">
        <v>259</v>
      </c>
      <c r="B236" s="11">
        <v>1.128</v>
      </c>
      <c r="C236" s="11">
        <v>1.064</v>
      </c>
      <c r="D236" s="11">
        <v>1</v>
      </c>
      <c r="E236" s="11">
        <v>9</v>
      </c>
      <c r="F236" s="11">
        <v>33</v>
      </c>
      <c r="G236" s="11">
        <v>38</v>
      </c>
      <c r="H236" s="5">
        <f t="shared" si="0"/>
        <v>9.56055555555556</v>
      </c>
      <c r="I236" s="11">
        <v>86</v>
      </c>
      <c r="J236" s="11">
        <v>55</v>
      </c>
      <c r="K236" s="11">
        <v>40</v>
      </c>
      <c r="L236" s="5">
        <f t="shared" si="1"/>
        <v>86.9277777777778</v>
      </c>
      <c r="M236" s="5">
        <f t="shared" si="15"/>
        <v>12.7632333807827</v>
      </c>
      <c r="N236" s="5">
        <f t="shared" si="16"/>
        <v>0.685026234310169</v>
      </c>
      <c r="O236">
        <v>1.55</v>
      </c>
      <c r="P236">
        <v>1513.134</v>
      </c>
      <c r="Q236" s="5">
        <f t="shared" si="17"/>
        <v>1514.30502623431</v>
      </c>
      <c r="T236" s="19"/>
      <c r="U236" s="19">
        <v>313.8941667</v>
      </c>
      <c r="V236" s="19"/>
      <c r="W236" s="19">
        <f t="shared" si="22"/>
        <v>355787.655456175</v>
      </c>
      <c r="X236" s="19">
        <f t="shared" si="23"/>
        <v>3055725.17560531</v>
      </c>
      <c r="Y236" s="19"/>
    </row>
    <row r="237" ht="14.25" customHeight="1" spans="1:25">
      <c r="A237" s="10" t="s">
        <v>260</v>
      </c>
      <c r="B237" s="11">
        <v>1.182</v>
      </c>
      <c r="C237" s="11">
        <v>1.091</v>
      </c>
      <c r="D237" s="11">
        <v>1</v>
      </c>
      <c r="E237" s="11">
        <v>13</v>
      </c>
      <c r="F237" s="11">
        <v>17</v>
      </c>
      <c r="G237" s="11">
        <v>15</v>
      </c>
      <c r="H237" s="5">
        <f t="shared" si="0"/>
        <v>13.2875</v>
      </c>
      <c r="I237" s="11">
        <v>84</v>
      </c>
      <c r="J237" s="11">
        <v>29</v>
      </c>
      <c r="K237" s="11">
        <v>31</v>
      </c>
      <c r="L237" s="5">
        <f t="shared" si="1"/>
        <v>84.4919444444444</v>
      </c>
      <c r="M237" s="5">
        <f t="shared" si="15"/>
        <v>18.0323187652758</v>
      </c>
      <c r="N237" s="5">
        <f t="shared" si="16"/>
        <v>1.73887362263691</v>
      </c>
      <c r="O237">
        <v>1.55</v>
      </c>
      <c r="P237">
        <v>1513.134</v>
      </c>
      <c r="Q237" s="5">
        <f t="shared" si="17"/>
        <v>1515.33187362264</v>
      </c>
      <c r="T237" s="19"/>
      <c r="U237" s="19">
        <v>314.8941667</v>
      </c>
      <c r="V237" s="19"/>
      <c r="W237" s="19">
        <f t="shared" si="22"/>
        <v>355785.131979556</v>
      </c>
      <c r="X237" s="19">
        <f t="shared" si="23"/>
        <v>3055727.92531021</v>
      </c>
      <c r="Y237" s="19"/>
    </row>
    <row r="238" ht="14.25" customHeight="1" spans="1:25">
      <c r="A238" s="10" t="s">
        <v>261</v>
      </c>
      <c r="B238" s="11">
        <v>1.056</v>
      </c>
      <c r="C238" s="11">
        <v>1.028</v>
      </c>
      <c r="D238" s="11">
        <v>1</v>
      </c>
      <c r="E238" s="11">
        <v>32</v>
      </c>
      <c r="F238" s="11">
        <v>25</v>
      </c>
      <c r="G238" s="11">
        <v>20</v>
      </c>
      <c r="H238" s="5">
        <f t="shared" si="0"/>
        <v>32.4222222222222</v>
      </c>
      <c r="I238" s="11">
        <v>94</v>
      </c>
      <c r="J238" s="11">
        <v>36</v>
      </c>
      <c r="K238" s="11">
        <v>45</v>
      </c>
      <c r="L238" s="5">
        <f t="shared" si="1"/>
        <v>94.6125</v>
      </c>
      <c r="M238" s="5">
        <f t="shared" si="15"/>
        <v>5.56378594737943</v>
      </c>
      <c r="N238" s="5">
        <f t="shared" si="16"/>
        <v>-0.448873297343495</v>
      </c>
      <c r="O238">
        <v>1.55</v>
      </c>
      <c r="P238">
        <v>1513.134</v>
      </c>
      <c r="Q238" s="5">
        <f t="shared" si="17"/>
        <v>1513.20712670266</v>
      </c>
      <c r="T238" s="19"/>
      <c r="U238" s="19">
        <v>315.8941667</v>
      </c>
      <c r="V238" s="19"/>
      <c r="W238" s="19">
        <f t="shared" si="22"/>
        <v>355771.979590321</v>
      </c>
      <c r="X238" s="19">
        <f t="shared" si="23"/>
        <v>3055741.82795316</v>
      </c>
      <c r="Y238" s="19"/>
    </row>
    <row r="239" ht="14.25" customHeight="1" spans="1:25">
      <c r="A239" s="10" t="s">
        <v>262</v>
      </c>
      <c r="B239" s="11">
        <v>1.082</v>
      </c>
      <c r="C239" s="11">
        <v>1.041</v>
      </c>
      <c r="D239" s="11">
        <v>1</v>
      </c>
      <c r="E239" s="11">
        <v>24</v>
      </c>
      <c r="F239" s="11">
        <v>30</v>
      </c>
      <c r="G239" s="11">
        <v>36</v>
      </c>
      <c r="H239" s="5">
        <f t="shared" si="0"/>
        <v>24.51</v>
      </c>
      <c r="I239" s="11">
        <v>85</v>
      </c>
      <c r="J239" s="11">
        <v>16</v>
      </c>
      <c r="K239" s="11">
        <v>28</v>
      </c>
      <c r="L239" s="5">
        <f t="shared" si="1"/>
        <v>85.2744444444444</v>
      </c>
      <c r="M239" s="5">
        <f t="shared" si="15"/>
        <v>8.14434689925832</v>
      </c>
      <c r="N239" s="5">
        <f t="shared" si="16"/>
        <v>0.673244501247245</v>
      </c>
      <c r="O239">
        <v>1.55</v>
      </c>
      <c r="P239">
        <v>1513.134</v>
      </c>
      <c r="Q239" s="5">
        <f t="shared" si="17"/>
        <v>1514.31624450125</v>
      </c>
      <c r="T239" s="19"/>
      <c r="U239" s="19">
        <v>316.8941667</v>
      </c>
      <c r="V239" s="19"/>
      <c r="W239" s="19">
        <f t="shared" si="22"/>
        <v>355777.796137882</v>
      </c>
      <c r="X239" s="19">
        <f t="shared" si="23"/>
        <v>3055736.4415723</v>
      </c>
      <c r="Y239" s="19"/>
    </row>
    <row r="240" ht="14.25" customHeight="1" spans="1:25">
      <c r="A240" s="10" t="s">
        <v>263</v>
      </c>
      <c r="B240" s="11">
        <v>1.035</v>
      </c>
      <c r="C240" s="11">
        <v>1.018</v>
      </c>
      <c r="D240" s="11">
        <v>1</v>
      </c>
      <c r="E240" s="11">
        <v>38</v>
      </c>
      <c r="F240" s="11">
        <v>58</v>
      </c>
      <c r="G240" s="11">
        <v>49</v>
      </c>
      <c r="H240" s="5">
        <f t="shared" si="0"/>
        <v>38.9802777777778</v>
      </c>
      <c r="I240" s="11">
        <v>98</v>
      </c>
      <c r="J240" s="11">
        <v>38</v>
      </c>
      <c r="K240" s="11">
        <v>51</v>
      </c>
      <c r="L240" s="5">
        <f t="shared" si="1"/>
        <v>98.6475</v>
      </c>
      <c r="M240" s="5">
        <f t="shared" si="15"/>
        <v>3.4208768067611</v>
      </c>
      <c r="N240" s="5">
        <f t="shared" si="16"/>
        <v>-0.520260220108948</v>
      </c>
      <c r="O240">
        <v>1.55</v>
      </c>
      <c r="P240">
        <v>1513.134</v>
      </c>
      <c r="Q240" s="5">
        <f t="shared" si="17"/>
        <v>1513.14573977989</v>
      </c>
      <c r="T240" s="19"/>
      <c r="U240" s="19">
        <v>317.8941667</v>
      </c>
      <c r="V240" s="19"/>
      <c r="W240" s="19">
        <f t="shared" si="22"/>
        <v>355768.408639719</v>
      </c>
      <c r="X240" s="19">
        <f t="shared" si="23"/>
        <v>3055747.4667636</v>
      </c>
      <c r="Y240" s="19"/>
    </row>
    <row r="241" ht="14.25" customHeight="1" spans="1:25">
      <c r="A241" s="10" t="s">
        <v>264</v>
      </c>
      <c r="B241" s="11">
        <v>1.018</v>
      </c>
      <c r="C241" s="11">
        <v>1.009</v>
      </c>
      <c r="D241" s="11">
        <v>1</v>
      </c>
      <c r="E241" s="11">
        <v>63</v>
      </c>
      <c r="F241" s="11">
        <v>59</v>
      </c>
      <c r="G241" s="11">
        <v>23</v>
      </c>
      <c r="H241" s="5">
        <f t="shared" si="0"/>
        <v>63.9897222222222</v>
      </c>
      <c r="I241" s="11">
        <v>107</v>
      </c>
      <c r="J241" s="11">
        <v>13</v>
      </c>
      <c r="K241" s="11">
        <v>37</v>
      </c>
      <c r="L241" s="5">
        <f t="shared" si="1"/>
        <v>107.226944444444</v>
      </c>
      <c r="M241" s="5">
        <f t="shared" si="15"/>
        <v>1.64212358414615</v>
      </c>
      <c r="N241" s="5">
        <f t="shared" si="16"/>
        <v>-0.509168524021338</v>
      </c>
      <c r="O241">
        <v>1.55</v>
      </c>
      <c r="P241">
        <v>1513.134</v>
      </c>
      <c r="Q241" s="5">
        <f t="shared" si="17"/>
        <v>1513.16583147598</v>
      </c>
      <c r="T241" s="19"/>
      <c r="U241" s="19">
        <v>318.8941667</v>
      </c>
      <c r="V241" s="19"/>
      <c r="W241" s="19">
        <f t="shared" si="22"/>
        <v>355752.474831555</v>
      </c>
      <c r="X241" s="19">
        <f t="shared" si="23"/>
        <v>3055766.76302925</v>
      </c>
      <c r="Y241" s="19"/>
    </row>
    <row r="242" ht="14.25" customHeight="1" spans="1:25">
      <c r="A242" s="10" t="s">
        <v>265</v>
      </c>
      <c r="B242" s="11">
        <v>1.348</v>
      </c>
      <c r="C242" s="11">
        <v>1.324</v>
      </c>
      <c r="D242" s="11">
        <v>1.3</v>
      </c>
      <c r="E242" s="11">
        <v>216</v>
      </c>
      <c r="F242" s="11">
        <v>0</v>
      </c>
      <c r="G242" s="11">
        <v>28</v>
      </c>
      <c r="H242" s="5">
        <f t="shared" si="0"/>
        <v>216.007777777778</v>
      </c>
      <c r="I242" s="11">
        <v>106</v>
      </c>
      <c r="J242" s="11">
        <v>45</v>
      </c>
      <c r="K242" s="11">
        <v>18</v>
      </c>
      <c r="L242" s="5">
        <f t="shared" si="1"/>
        <v>106.755</v>
      </c>
      <c r="M242" s="5">
        <f t="shared" si="15"/>
        <v>4.40109474765667</v>
      </c>
      <c r="N242" s="5">
        <f t="shared" si="16"/>
        <v>-1.32499804184795</v>
      </c>
      <c r="O242">
        <v>1.55</v>
      </c>
      <c r="P242">
        <v>1513.134</v>
      </c>
      <c r="Q242" s="5">
        <f t="shared" si="17"/>
        <v>1512.03500195815</v>
      </c>
      <c r="T242" s="19"/>
      <c r="U242" s="19">
        <v>319.8941667</v>
      </c>
      <c r="V242" s="19"/>
      <c r="W242" s="19">
        <f t="shared" si="22"/>
        <v>355655.392464953</v>
      </c>
      <c r="X242" s="19">
        <f t="shared" si="23"/>
        <v>3055883.76180578</v>
      </c>
      <c r="Y242" s="19"/>
    </row>
    <row r="243" ht="14.25" customHeight="1" spans="1:25">
      <c r="A243" s="10" t="s">
        <v>266</v>
      </c>
      <c r="B243" s="11">
        <v>1.072</v>
      </c>
      <c r="C243" s="11">
        <v>1.036</v>
      </c>
      <c r="D243" s="11">
        <v>1</v>
      </c>
      <c r="E243" s="11">
        <v>303</v>
      </c>
      <c r="F243" s="11">
        <v>49</v>
      </c>
      <c r="G243" s="11">
        <v>23</v>
      </c>
      <c r="H243" s="5">
        <f t="shared" si="0"/>
        <v>303.823055555556</v>
      </c>
      <c r="I243" s="11">
        <v>98</v>
      </c>
      <c r="J243" s="11">
        <v>24</v>
      </c>
      <c r="K243" s="11">
        <v>54</v>
      </c>
      <c r="L243" s="5">
        <f t="shared" si="1"/>
        <v>98.415</v>
      </c>
      <c r="M243" s="5">
        <f t="shared" si="15"/>
        <v>7.04580490662016</v>
      </c>
      <c r="N243" s="5">
        <f t="shared" si="16"/>
        <v>-1.04231883102653</v>
      </c>
      <c r="O243">
        <v>1.55</v>
      </c>
      <c r="P243">
        <v>1513.134</v>
      </c>
      <c r="Q243" s="5">
        <f t="shared" si="17"/>
        <v>1512.60568116897</v>
      </c>
      <c r="T243" s="19"/>
      <c r="U243" s="19">
        <v>320.8941667</v>
      </c>
      <c r="V243" s="19"/>
      <c r="W243" s="19">
        <f t="shared" si="22"/>
        <v>355602.907145376</v>
      </c>
      <c r="X243" s="19">
        <f t="shared" si="23"/>
        <v>3055954.3082813</v>
      </c>
      <c r="Y243" s="19"/>
    </row>
    <row r="244" ht="14.25" customHeight="1" spans="1:25">
      <c r="A244" s="10" t="s">
        <v>267</v>
      </c>
      <c r="B244" s="11">
        <v>1.08</v>
      </c>
      <c r="C244" s="11">
        <v>1.04</v>
      </c>
      <c r="D244" s="11">
        <v>1</v>
      </c>
      <c r="E244" s="11">
        <v>302</v>
      </c>
      <c r="F244" s="11">
        <v>56</v>
      </c>
      <c r="G244" s="11">
        <v>26</v>
      </c>
      <c r="H244" s="5">
        <f t="shared" si="0"/>
        <v>302.940555555556</v>
      </c>
      <c r="I244" s="11">
        <v>94</v>
      </c>
      <c r="J244" s="11">
        <v>7</v>
      </c>
      <c r="K244" s="11">
        <v>18</v>
      </c>
      <c r="L244" s="5">
        <f t="shared" si="1"/>
        <v>94.1216666666667</v>
      </c>
      <c r="M244" s="5">
        <f t="shared" si="15"/>
        <v>7.95867230498047</v>
      </c>
      <c r="N244" s="5">
        <f t="shared" si="16"/>
        <v>-0.573509879409806</v>
      </c>
      <c r="O244">
        <v>1.55</v>
      </c>
      <c r="P244">
        <v>1513.134</v>
      </c>
      <c r="Q244" s="5">
        <f t="shared" si="17"/>
        <v>1513.07049012059</v>
      </c>
      <c r="T244" s="19"/>
      <c r="U244" s="19">
        <v>321.8941667</v>
      </c>
      <c r="V244" s="19"/>
      <c r="W244" s="19">
        <f t="shared" si="22"/>
        <v>355607.595539314</v>
      </c>
      <c r="X244" s="19">
        <f t="shared" si="23"/>
        <v>3055956.92250073</v>
      </c>
      <c r="Y244" s="19"/>
    </row>
    <row r="245" ht="14.25" customHeight="1" spans="1:25">
      <c r="A245" s="10" t="s">
        <v>268</v>
      </c>
      <c r="B245" s="11">
        <v>1.088</v>
      </c>
      <c r="C245" s="11">
        <v>1.044</v>
      </c>
      <c r="D245" s="11">
        <v>1</v>
      </c>
      <c r="E245" s="11">
        <v>302</v>
      </c>
      <c r="F245" s="11">
        <v>25</v>
      </c>
      <c r="G245" s="11">
        <v>5</v>
      </c>
      <c r="H245" s="5">
        <f t="shared" si="0"/>
        <v>302.418055555556</v>
      </c>
      <c r="I245" s="11">
        <v>90</v>
      </c>
      <c r="J245" s="11">
        <v>23</v>
      </c>
      <c r="K245" s="11">
        <v>15</v>
      </c>
      <c r="L245" s="5">
        <f t="shared" si="1"/>
        <v>90.3875</v>
      </c>
      <c r="M245" s="5">
        <f t="shared" si="15"/>
        <v>8.79959749229392</v>
      </c>
      <c r="N245" s="5">
        <f t="shared" si="16"/>
        <v>-0.0595139126683815</v>
      </c>
      <c r="O245">
        <v>1.55</v>
      </c>
      <c r="P245">
        <v>1513.134</v>
      </c>
      <c r="Q245" s="5">
        <f t="shared" si="17"/>
        <v>1513.58048608733</v>
      </c>
      <c r="T245" s="19"/>
      <c r="U245" s="19">
        <v>322.8941667</v>
      </c>
      <c r="V245" s="19"/>
      <c r="W245" s="19">
        <f t="shared" si="22"/>
        <v>355612.099457346</v>
      </c>
      <c r="X245" s="19">
        <f t="shared" si="23"/>
        <v>3055959.73220745</v>
      </c>
      <c r="Y245" s="19"/>
    </row>
    <row r="246" ht="14.25" customHeight="1" spans="1:25">
      <c r="A246" s="10" t="s">
        <v>269</v>
      </c>
      <c r="B246" s="11">
        <v>1.105</v>
      </c>
      <c r="C246" s="11">
        <v>1.052</v>
      </c>
      <c r="D246" s="11">
        <v>1</v>
      </c>
      <c r="E246" s="11">
        <v>301</v>
      </c>
      <c r="F246" s="11">
        <v>1</v>
      </c>
      <c r="G246" s="11">
        <v>52</v>
      </c>
      <c r="H246" s="5">
        <f t="shared" si="0"/>
        <v>301.031111111111</v>
      </c>
      <c r="I246" s="11">
        <v>87</v>
      </c>
      <c r="J246" s="11">
        <v>19</v>
      </c>
      <c r="K246" s="11">
        <v>17</v>
      </c>
      <c r="L246" s="5">
        <f t="shared" si="1"/>
        <v>87.3213888888889</v>
      </c>
      <c r="M246" s="5">
        <f t="shared" si="15"/>
        <v>10.4770677354766</v>
      </c>
      <c r="N246" s="5">
        <f t="shared" si="16"/>
        <v>0.490166184818318</v>
      </c>
      <c r="O246">
        <v>1.55</v>
      </c>
      <c r="P246">
        <v>1513.134</v>
      </c>
      <c r="Q246" s="5">
        <f t="shared" si="17"/>
        <v>1514.12216618482</v>
      </c>
      <c r="T246" s="19"/>
      <c r="U246" s="19">
        <v>323.8941667</v>
      </c>
      <c r="V246" s="19"/>
      <c r="W246" s="19">
        <f t="shared" ref="W246:W287" si="24">$S$213+(H246*SIN(U246*3.141592654/180))</f>
        <v>355617.153803656</v>
      </c>
      <c r="X246" s="19">
        <f t="shared" ref="X246:X288" si="25">$T$213+(H246*COS(U246*3.141592654/180))</f>
        <v>3055961.75903366</v>
      </c>
      <c r="Y246" s="19"/>
    </row>
    <row r="247" ht="14.25" customHeight="1" spans="1:25">
      <c r="A247" s="10" t="s">
        <v>270</v>
      </c>
      <c r="B247" s="11">
        <v>1.116</v>
      </c>
      <c r="C247" s="11">
        <v>1.058</v>
      </c>
      <c r="D247" s="11">
        <v>1</v>
      </c>
      <c r="E247" s="11">
        <v>300</v>
      </c>
      <c r="F247" s="11">
        <v>17</v>
      </c>
      <c r="G247" s="11">
        <v>14</v>
      </c>
      <c r="H247" s="5">
        <f t="shared" si="0"/>
        <v>300.287222222222</v>
      </c>
      <c r="I247" s="11">
        <v>84</v>
      </c>
      <c r="J247" s="11">
        <v>46</v>
      </c>
      <c r="K247" s="11">
        <v>42</v>
      </c>
      <c r="L247" s="5">
        <f t="shared" si="1"/>
        <v>84.7783333333333</v>
      </c>
      <c r="M247" s="5">
        <f t="shared" si="15"/>
        <v>11.5039210350008</v>
      </c>
      <c r="N247" s="5">
        <f t="shared" si="16"/>
        <v>1.05132527149084</v>
      </c>
      <c r="O247">
        <v>1.55</v>
      </c>
      <c r="P247">
        <v>1513.134</v>
      </c>
      <c r="Q247" s="5">
        <f t="shared" si="17"/>
        <v>1514.67732527149</v>
      </c>
      <c r="T247" s="19"/>
      <c r="U247" s="19">
        <v>324.8941667</v>
      </c>
      <c r="V247" s="19"/>
      <c r="W247" s="19">
        <f t="shared" si="24"/>
        <v>355621.853258435</v>
      </c>
      <c r="X247" s="19">
        <f t="shared" si="25"/>
        <v>3055964.20932561</v>
      </c>
      <c r="Y247" s="19"/>
    </row>
    <row r="248" ht="14.25" customHeight="1" spans="1:25">
      <c r="A248" s="10" t="s">
        <v>271</v>
      </c>
      <c r="B248" s="11">
        <v>1.132</v>
      </c>
      <c r="C248" s="11">
        <v>1.066</v>
      </c>
      <c r="D248" s="11">
        <v>1</v>
      </c>
      <c r="E248" s="11">
        <v>299</v>
      </c>
      <c r="F248" s="11">
        <v>35</v>
      </c>
      <c r="G248" s="11">
        <v>20</v>
      </c>
      <c r="H248" s="5">
        <f t="shared" si="0"/>
        <v>299.588888888889</v>
      </c>
      <c r="I248" s="11">
        <v>82</v>
      </c>
      <c r="J248" s="11">
        <v>58</v>
      </c>
      <c r="K248" s="11">
        <v>34</v>
      </c>
      <c r="L248" s="5">
        <f t="shared" si="1"/>
        <v>82.9761111111111</v>
      </c>
      <c r="M248" s="5">
        <f t="shared" si="15"/>
        <v>13.0026181245338</v>
      </c>
      <c r="N248" s="5">
        <f t="shared" si="16"/>
        <v>1.60202407952892</v>
      </c>
      <c r="O248">
        <v>1.55</v>
      </c>
      <c r="P248">
        <v>1513.134</v>
      </c>
      <c r="Q248" s="5">
        <f t="shared" si="17"/>
        <v>1515.22002407953</v>
      </c>
      <c r="T248" s="19"/>
      <c r="U248" s="19">
        <v>325.8941667</v>
      </c>
      <c r="V248" s="19"/>
      <c r="W248" s="19">
        <f t="shared" si="24"/>
        <v>355626.558530745</v>
      </c>
      <c r="X248" s="19">
        <f t="shared" si="25"/>
        <v>3055966.60757424</v>
      </c>
      <c r="Y248" s="19"/>
    </row>
    <row r="249" ht="14.25" customHeight="1" spans="1:25">
      <c r="A249" s="10" t="s">
        <v>272</v>
      </c>
      <c r="B249" s="11">
        <v>1.245</v>
      </c>
      <c r="C249" s="11">
        <v>1.172</v>
      </c>
      <c r="D249" s="11">
        <v>1</v>
      </c>
      <c r="E249" s="11">
        <v>299</v>
      </c>
      <c r="F249" s="11">
        <v>23</v>
      </c>
      <c r="G249" s="11">
        <v>38</v>
      </c>
      <c r="H249" s="5">
        <f t="shared" si="0"/>
        <v>299.393888888889</v>
      </c>
      <c r="I249" s="11">
        <v>81</v>
      </c>
      <c r="J249" s="11">
        <v>12</v>
      </c>
      <c r="K249" s="11">
        <v>36</v>
      </c>
      <c r="L249" s="5">
        <f t="shared" si="1"/>
        <v>81.21</v>
      </c>
      <c r="M249" s="5">
        <f t="shared" si="15"/>
        <v>23.9278779198464</v>
      </c>
      <c r="N249" s="5">
        <f t="shared" si="16"/>
        <v>3.69995503880293</v>
      </c>
      <c r="O249">
        <v>1.55</v>
      </c>
      <c r="P249">
        <v>1513.134</v>
      </c>
      <c r="Q249" s="5">
        <f t="shared" si="17"/>
        <v>1517.2119550388</v>
      </c>
      <c r="T249" s="19"/>
      <c r="U249" s="19">
        <v>326.8941667</v>
      </c>
      <c r="V249" s="19"/>
      <c r="W249" s="19">
        <f t="shared" si="24"/>
        <v>355631.019876375</v>
      </c>
      <c r="X249" s="19">
        <f t="shared" si="25"/>
        <v>3055969.33821724</v>
      </c>
      <c r="Y249" s="19"/>
    </row>
    <row r="250" ht="14.25" customHeight="1" spans="1:25">
      <c r="A250" s="10" t="s">
        <v>273</v>
      </c>
      <c r="B250" s="11">
        <v>1.152</v>
      </c>
      <c r="C250" s="11">
        <v>1.076</v>
      </c>
      <c r="D250" s="11">
        <v>1</v>
      </c>
      <c r="E250" s="11">
        <v>299</v>
      </c>
      <c r="F250" s="11">
        <v>7</v>
      </c>
      <c r="G250" s="11">
        <v>27</v>
      </c>
      <c r="H250" s="5">
        <f t="shared" si="0"/>
        <v>299.124166666667</v>
      </c>
      <c r="I250" s="11">
        <v>80</v>
      </c>
      <c r="J250" s="11">
        <v>19</v>
      </c>
      <c r="K250" s="11">
        <v>33</v>
      </c>
      <c r="L250" s="5">
        <f t="shared" si="1"/>
        <v>80.3258333333333</v>
      </c>
      <c r="M250" s="5">
        <f t="shared" si="15"/>
        <v>14.770765694117</v>
      </c>
      <c r="N250" s="5">
        <f t="shared" si="16"/>
        <v>2.51795936426211</v>
      </c>
      <c r="O250">
        <v>1.55</v>
      </c>
      <c r="P250">
        <v>1513.134</v>
      </c>
      <c r="Q250" s="5">
        <f t="shared" si="17"/>
        <v>1516.12595936426</v>
      </c>
      <c r="T250" s="19"/>
      <c r="U250" s="19">
        <v>327.8941667</v>
      </c>
      <c r="V250" s="19"/>
      <c r="W250" s="19">
        <f t="shared" si="24"/>
        <v>355635.565045565</v>
      </c>
      <c r="X250" s="19">
        <f t="shared" si="25"/>
        <v>3055971.92545443</v>
      </c>
      <c r="Y250" s="19"/>
    </row>
    <row r="251" ht="14.25" customHeight="1" spans="1:25">
      <c r="A251" s="10" t="s">
        <v>274</v>
      </c>
      <c r="B251" s="11">
        <v>1.165</v>
      </c>
      <c r="C251" s="11">
        <v>1.082</v>
      </c>
      <c r="D251" s="11">
        <v>1</v>
      </c>
      <c r="E251" s="11">
        <v>298</v>
      </c>
      <c r="F251" s="11">
        <v>53</v>
      </c>
      <c r="G251" s="11">
        <v>32</v>
      </c>
      <c r="H251" s="5">
        <f t="shared" si="0"/>
        <v>298.892222222222</v>
      </c>
      <c r="I251" s="11">
        <v>79</v>
      </c>
      <c r="J251" s="11">
        <v>15</v>
      </c>
      <c r="K251" s="11">
        <v>26</v>
      </c>
      <c r="L251" s="5">
        <f t="shared" si="1"/>
        <v>79.2572222222222</v>
      </c>
      <c r="M251" s="5">
        <f t="shared" si="15"/>
        <v>15.9267069597475</v>
      </c>
      <c r="N251" s="5">
        <f t="shared" si="16"/>
        <v>3.02169989478832</v>
      </c>
      <c r="O251">
        <v>1.55</v>
      </c>
      <c r="P251">
        <v>1513.134</v>
      </c>
      <c r="Q251" s="5">
        <f t="shared" si="17"/>
        <v>1516.62369989479</v>
      </c>
      <c r="T251" s="19"/>
      <c r="U251" s="19">
        <v>328.8941667</v>
      </c>
      <c r="V251" s="19"/>
      <c r="W251" s="19">
        <f t="shared" si="24"/>
        <v>355640.131150007</v>
      </c>
      <c r="X251" s="19">
        <f t="shared" si="25"/>
        <v>3055974.46285225</v>
      </c>
      <c r="Y251" s="19"/>
    </row>
    <row r="252" ht="14.25" customHeight="1" spans="1:25">
      <c r="A252" s="10" t="s">
        <v>275</v>
      </c>
      <c r="B252">
        <v>1.172</v>
      </c>
      <c r="C252">
        <v>1.086</v>
      </c>
      <c r="D252">
        <v>1</v>
      </c>
      <c r="E252" s="11">
        <v>298</v>
      </c>
      <c r="F252" s="11">
        <v>53</v>
      </c>
      <c r="G252" s="11">
        <v>32</v>
      </c>
      <c r="H252" s="5">
        <f t="shared" si="0"/>
        <v>298.892222222222</v>
      </c>
      <c r="I252" s="11">
        <v>78</v>
      </c>
      <c r="J252">
        <v>36</v>
      </c>
      <c r="K252">
        <v>5</v>
      </c>
      <c r="L252" s="5">
        <f t="shared" si="1"/>
        <v>78.6013888888889</v>
      </c>
      <c r="M252" s="5">
        <f t="shared" si="15"/>
        <v>16.5281846650017</v>
      </c>
      <c r="N252" s="5">
        <f t="shared" si="16"/>
        <v>3.33224967816517</v>
      </c>
      <c r="O252">
        <v>1.55</v>
      </c>
      <c r="P252">
        <v>1513.134</v>
      </c>
      <c r="Q252" s="5">
        <f t="shared" si="17"/>
        <v>1516.93024967817</v>
      </c>
      <c r="T252" s="19"/>
      <c r="U252" s="19">
        <v>329.8941667</v>
      </c>
      <c r="V252" s="19"/>
      <c r="W252" s="19">
        <f t="shared" si="24"/>
        <v>355644.621015452</v>
      </c>
      <c r="X252" s="19">
        <f t="shared" si="25"/>
        <v>3055977.1187683</v>
      </c>
      <c r="Y252" s="19"/>
    </row>
    <row r="253" ht="14.25" customHeight="1" spans="1:25">
      <c r="A253" s="10" t="s">
        <v>276</v>
      </c>
      <c r="B253" s="11">
        <v>1.116</v>
      </c>
      <c r="C253" s="11">
        <v>1.058</v>
      </c>
      <c r="D253" s="11">
        <v>1</v>
      </c>
      <c r="E253" s="11">
        <v>308</v>
      </c>
      <c r="F253">
        <v>36</v>
      </c>
      <c r="G253">
        <v>58</v>
      </c>
      <c r="H253" s="5">
        <f t="shared" si="0"/>
        <v>308.616111111111</v>
      </c>
      <c r="I253" s="11">
        <v>84</v>
      </c>
      <c r="J253" s="11">
        <v>48</v>
      </c>
      <c r="K253" s="11">
        <v>43</v>
      </c>
      <c r="L253" s="5">
        <f t="shared" si="1"/>
        <v>84.8119444444444</v>
      </c>
      <c r="M253" s="5">
        <f t="shared" si="15"/>
        <v>11.5051505753935</v>
      </c>
      <c r="N253" s="5">
        <f t="shared" si="16"/>
        <v>1.04463242917648</v>
      </c>
      <c r="O253">
        <v>1.55</v>
      </c>
      <c r="P253">
        <v>1513.134</v>
      </c>
      <c r="Q253" s="5">
        <f t="shared" si="17"/>
        <v>1514.67063242918</v>
      </c>
      <c r="T253" s="19"/>
      <c r="U253" s="19">
        <v>330.8941667</v>
      </c>
      <c r="V253" s="19"/>
      <c r="W253" s="19">
        <f t="shared" si="24"/>
        <v>355644.426612997</v>
      </c>
      <c r="X253" s="19">
        <f t="shared" si="25"/>
        <v>3055988.19190338</v>
      </c>
      <c r="Y253" s="19"/>
    </row>
    <row r="254" ht="14.25" customHeight="1" spans="1:25">
      <c r="A254" s="10" t="s">
        <v>277</v>
      </c>
      <c r="B254" s="11">
        <v>1.108</v>
      </c>
      <c r="C254" s="11">
        <v>1.054</v>
      </c>
      <c r="D254" s="11">
        <v>1</v>
      </c>
      <c r="E254" s="11">
        <v>309</v>
      </c>
      <c r="F254" s="11">
        <v>36</v>
      </c>
      <c r="G254" s="11">
        <v>58</v>
      </c>
      <c r="H254" s="5">
        <f t="shared" si="0"/>
        <v>309.616111111111</v>
      </c>
      <c r="I254">
        <v>87</v>
      </c>
      <c r="J254" s="11">
        <v>17</v>
      </c>
      <c r="K254" s="11">
        <v>26</v>
      </c>
      <c r="L254" s="5">
        <f t="shared" si="1"/>
        <v>87.2905555555556</v>
      </c>
      <c r="M254" s="5">
        <f t="shared" si="15"/>
        <v>10.775866781722</v>
      </c>
      <c r="N254" s="5">
        <f t="shared" si="16"/>
        <v>0.509957199359341</v>
      </c>
      <c r="O254">
        <v>1.55</v>
      </c>
      <c r="P254">
        <v>1513.134</v>
      </c>
      <c r="Q254" s="5">
        <f t="shared" si="17"/>
        <v>1514.13995719936</v>
      </c>
      <c r="T254" s="19"/>
      <c r="U254" s="19">
        <v>331.8941667</v>
      </c>
      <c r="V254" s="19"/>
      <c r="W254" s="19">
        <f t="shared" si="24"/>
        <v>355648.684327515</v>
      </c>
      <c r="X254" s="19">
        <f t="shared" si="25"/>
        <v>3055991.65284117</v>
      </c>
      <c r="Y254" s="19"/>
    </row>
    <row r="255" ht="14.25" customHeight="1" spans="1:25">
      <c r="A255" s="10" t="s">
        <v>278</v>
      </c>
      <c r="B255" s="11">
        <v>1.092</v>
      </c>
      <c r="C255" s="11">
        <v>1.045</v>
      </c>
      <c r="D255" s="11">
        <v>1</v>
      </c>
      <c r="E255" s="11">
        <v>312</v>
      </c>
      <c r="F255" s="11">
        <v>41</v>
      </c>
      <c r="G255" s="11">
        <v>17</v>
      </c>
      <c r="H255" s="5">
        <f t="shared" si="0"/>
        <v>312.688055555556</v>
      </c>
      <c r="I255">
        <v>90</v>
      </c>
      <c r="J255">
        <v>16</v>
      </c>
      <c r="K255">
        <v>47</v>
      </c>
      <c r="L255" s="5">
        <f t="shared" si="1"/>
        <v>90.2797222222222</v>
      </c>
      <c r="M255" s="5">
        <f t="shared" si="15"/>
        <v>9.19978072301473</v>
      </c>
      <c r="N255" s="5">
        <f t="shared" si="16"/>
        <v>-0.0449143649861637</v>
      </c>
      <c r="O255">
        <v>1.55</v>
      </c>
      <c r="P255">
        <v>1513.134</v>
      </c>
      <c r="Q255" s="5">
        <f t="shared" si="17"/>
        <v>1513.59408563501</v>
      </c>
      <c r="T255" s="19"/>
      <c r="U255" s="19">
        <v>332.8941667</v>
      </c>
      <c r="V255" s="19"/>
      <c r="W255" s="19">
        <f t="shared" si="24"/>
        <v>355652.073209887</v>
      </c>
      <c r="X255" s="19">
        <f t="shared" si="25"/>
        <v>3055996.89140736</v>
      </c>
      <c r="Y255" s="19"/>
    </row>
    <row r="256" ht="14.25" customHeight="1" spans="1:25">
      <c r="A256" s="10" t="s">
        <v>279</v>
      </c>
      <c r="B256" s="11">
        <v>1.084</v>
      </c>
      <c r="C256" s="11">
        <v>1.042</v>
      </c>
      <c r="D256" s="11">
        <v>1</v>
      </c>
      <c r="E256" s="11">
        <v>314</v>
      </c>
      <c r="F256" s="11">
        <v>48</v>
      </c>
      <c r="G256" s="11">
        <v>34</v>
      </c>
      <c r="H256" s="5">
        <f t="shared" si="0"/>
        <v>314.809444444444</v>
      </c>
      <c r="I256">
        <v>93</v>
      </c>
      <c r="J256">
        <v>51</v>
      </c>
      <c r="K256">
        <v>32</v>
      </c>
      <c r="L256" s="5">
        <f t="shared" si="1"/>
        <v>93.8588888888889</v>
      </c>
      <c r="M256" s="5">
        <f t="shared" si="15"/>
        <v>8.36195463044584</v>
      </c>
      <c r="N256" s="5">
        <f t="shared" si="16"/>
        <v>-0.56403338031582</v>
      </c>
      <c r="O256">
        <v>1.55</v>
      </c>
      <c r="P256">
        <v>1513.134</v>
      </c>
      <c r="Q256" s="5">
        <f t="shared" si="17"/>
        <v>1513.07796661968</v>
      </c>
      <c r="T256" s="19"/>
      <c r="U256" s="19">
        <v>333.8941667</v>
      </c>
      <c r="V256" s="19"/>
      <c r="W256" s="19">
        <f t="shared" si="24"/>
        <v>355656.019212742</v>
      </c>
      <c r="X256" s="19">
        <f t="shared" si="25"/>
        <v>3056001.24046044</v>
      </c>
      <c r="Y256" s="19"/>
    </row>
    <row r="257" ht="14.25" customHeight="1" spans="1:25">
      <c r="A257" s="10" t="s">
        <v>280</v>
      </c>
      <c r="B257" s="11">
        <v>1.078</v>
      </c>
      <c r="C257" s="11">
        <v>1.038</v>
      </c>
      <c r="D257" s="11">
        <v>1</v>
      </c>
      <c r="E257" s="11">
        <v>316</v>
      </c>
      <c r="F257" s="11">
        <v>34</v>
      </c>
      <c r="G257" s="11">
        <v>22</v>
      </c>
      <c r="H257" s="5">
        <f t="shared" si="0"/>
        <v>316.572777777778</v>
      </c>
      <c r="I257">
        <v>97</v>
      </c>
      <c r="J257">
        <v>31</v>
      </c>
      <c r="K257">
        <v>36</v>
      </c>
      <c r="L257" s="5">
        <f t="shared" si="1"/>
        <v>97.5266666666667</v>
      </c>
      <c r="M257" s="5">
        <f t="shared" si="15"/>
        <v>7.66616950376719</v>
      </c>
      <c r="N257" s="5">
        <f t="shared" si="16"/>
        <v>-1.01290042397764</v>
      </c>
      <c r="O257">
        <v>1.55</v>
      </c>
      <c r="P257">
        <v>1513.134</v>
      </c>
      <c r="Q257" s="5">
        <f t="shared" si="17"/>
        <v>1512.63309957602</v>
      </c>
      <c r="T257" s="19"/>
      <c r="U257" s="19">
        <v>334.8941667</v>
      </c>
      <c r="V257" s="19"/>
      <c r="W257" s="19">
        <f t="shared" si="24"/>
        <v>355660.22582451</v>
      </c>
      <c r="X257" s="19">
        <f t="shared" si="25"/>
        <v>3056005.21175669</v>
      </c>
      <c r="Y257" s="19"/>
    </row>
    <row r="258" ht="14.25" customHeight="1" spans="1:25">
      <c r="A258" s="10" t="s">
        <v>281</v>
      </c>
      <c r="B258" s="11">
        <v>1.09</v>
      </c>
      <c r="C258" s="11">
        <v>1.045</v>
      </c>
      <c r="D258" s="11">
        <v>1</v>
      </c>
      <c r="E258">
        <v>327</v>
      </c>
      <c r="F258" s="11">
        <v>45</v>
      </c>
      <c r="G258" s="11">
        <v>20</v>
      </c>
      <c r="H258" s="5">
        <f t="shared" si="0"/>
        <v>327.755555555556</v>
      </c>
      <c r="I258">
        <v>91</v>
      </c>
      <c r="J258">
        <v>15</v>
      </c>
      <c r="K258">
        <v>54</v>
      </c>
      <c r="L258" s="5">
        <f t="shared" si="1"/>
        <v>91.265</v>
      </c>
      <c r="M258" s="5">
        <f t="shared" si="15"/>
        <v>8.99561360509973</v>
      </c>
      <c r="N258" s="5">
        <f t="shared" si="16"/>
        <v>-0.19864116804495</v>
      </c>
      <c r="O258">
        <v>1.55</v>
      </c>
      <c r="P258">
        <v>1513.134</v>
      </c>
      <c r="Q258" s="5">
        <f t="shared" si="17"/>
        <v>1513.44035883195</v>
      </c>
      <c r="T258" s="19"/>
      <c r="U258" s="19">
        <v>335.8941667</v>
      </c>
      <c r="V258" s="19"/>
      <c r="W258" s="19">
        <f t="shared" si="24"/>
        <v>355660.681963768</v>
      </c>
      <c r="X258" s="19">
        <f t="shared" si="25"/>
        <v>3056017.71984591</v>
      </c>
      <c r="Y258" s="19"/>
    </row>
    <row r="259" ht="14.25" customHeight="1" spans="1:25">
      <c r="A259" s="10" t="s">
        <v>282</v>
      </c>
      <c r="B259" s="11">
        <v>1.126</v>
      </c>
      <c r="C259" s="11">
        <v>1.063</v>
      </c>
      <c r="D259" s="11">
        <v>1</v>
      </c>
      <c r="E259">
        <v>318</v>
      </c>
      <c r="F259" s="11">
        <v>51</v>
      </c>
      <c r="G259" s="11">
        <v>18</v>
      </c>
      <c r="H259" s="5">
        <f t="shared" si="0"/>
        <v>318.855</v>
      </c>
      <c r="I259">
        <v>84</v>
      </c>
      <c r="J259">
        <v>14</v>
      </c>
      <c r="K259">
        <v>0</v>
      </c>
      <c r="L259" s="5">
        <f t="shared" si="1"/>
        <v>84.2333333333333</v>
      </c>
      <c r="M259" s="5">
        <f t="shared" si="15"/>
        <v>12.4727938727505</v>
      </c>
      <c r="N259" s="5">
        <f t="shared" si="16"/>
        <v>1.25960938569606</v>
      </c>
      <c r="O259">
        <v>1.55</v>
      </c>
      <c r="P259">
        <v>1513.134</v>
      </c>
      <c r="Q259" s="5">
        <f t="shared" si="17"/>
        <v>1514.8806093857</v>
      </c>
      <c r="T259" s="19"/>
      <c r="U259" s="19">
        <v>336.8941667</v>
      </c>
      <c r="V259" s="19"/>
      <c r="W259" s="19">
        <f t="shared" si="24"/>
        <v>355669.416489651</v>
      </c>
      <c r="X259" s="19">
        <f t="shared" si="25"/>
        <v>3056011.82394577</v>
      </c>
      <c r="Y259" s="19"/>
    </row>
    <row r="260" ht="14.25" customHeight="1" spans="1:25">
      <c r="A260" s="10" t="s">
        <v>283</v>
      </c>
      <c r="B260" s="11">
        <v>1.115</v>
      </c>
      <c r="C260" s="11">
        <v>1.058</v>
      </c>
      <c r="D260" s="11">
        <v>1</v>
      </c>
      <c r="E260">
        <v>317</v>
      </c>
      <c r="F260">
        <v>4</v>
      </c>
      <c r="G260">
        <v>4</v>
      </c>
      <c r="H260" s="5">
        <f t="shared" si="0"/>
        <v>317.067777777778</v>
      </c>
      <c r="I260">
        <v>86</v>
      </c>
      <c r="J260">
        <v>21</v>
      </c>
      <c r="K260">
        <v>32</v>
      </c>
      <c r="L260" s="5">
        <f t="shared" si="1"/>
        <v>86.3588888888889</v>
      </c>
      <c r="M260" s="5">
        <f t="shared" si="15"/>
        <v>11.4536194681355</v>
      </c>
      <c r="N260" s="5">
        <f t="shared" si="16"/>
        <v>0.72885181121096</v>
      </c>
      <c r="O260">
        <v>1.55</v>
      </c>
      <c r="P260">
        <v>1513.134</v>
      </c>
      <c r="Q260" s="5">
        <f t="shared" si="17"/>
        <v>1514.35485181121</v>
      </c>
      <c r="T260" s="19"/>
      <c r="U260" s="19">
        <v>337.8941667</v>
      </c>
      <c r="V260" s="19"/>
      <c r="W260" s="19">
        <f t="shared" si="24"/>
        <v>355675.226500734</v>
      </c>
      <c r="X260" s="19">
        <f t="shared" si="25"/>
        <v>3056012.3072278</v>
      </c>
      <c r="Y260" s="19"/>
    </row>
    <row r="261" ht="14.25" customHeight="1" spans="1:25">
      <c r="A261" s="10" t="s">
        <v>284</v>
      </c>
      <c r="B261" s="11">
        <v>1.128</v>
      </c>
      <c r="C261" s="11">
        <v>1.064</v>
      </c>
      <c r="D261" s="11">
        <v>1</v>
      </c>
      <c r="E261">
        <v>344</v>
      </c>
      <c r="F261">
        <v>28</v>
      </c>
      <c r="G261">
        <v>59</v>
      </c>
      <c r="H261" s="5">
        <f t="shared" si="0"/>
        <v>344.483055555556</v>
      </c>
      <c r="I261">
        <v>86</v>
      </c>
      <c r="J261">
        <v>45</v>
      </c>
      <c r="K261">
        <v>37</v>
      </c>
      <c r="L261" s="5">
        <f t="shared" si="1"/>
        <v>86.7602777777778</v>
      </c>
      <c r="M261" s="5">
        <f t="shared" si="15"/>
        <v>12.759119390462</v>
      </c>
      <c r="N261" s="5">
        <f t="shared" si="16"/>
        <v>0.722219203462629</v>
      </c>
      <c r="O261">
        <v>1.55</v>
      </c>
      <c r="P261">
        <v>1513.134</v>
      </c>
      <c r="Q261" s="5">
        <f t="shared" si="17"/>
        <v>1514.34221920346</v>
      </c>
      <c r="T261" s="19"/>
      <c r="U261" s="19">
        <v>338.8941667</v>
      </c>
      <c r="V261" s="19"/>
      <c r="W261" s="19">
        <f t="shared" si="24"/>
        <v>355670.499479968</v>
      </c>
      <c r="X261" s="19">
        <f t="shared" si="25"/>
        <v>3056039.92105702</v>
      </c>
      <c r="Y261" s="19"/>
    </row>
    <row r="262" ht="14.25" customHeight="1" spans="1:25">
      <c r="A262" s="10" t="s">
        <v>285</v>
      </c>
      <c r="B262" s="11">
        <v>1.132</v>
      </c>
      <c r="C262" s="11">
        <v>1.066</v>
      </c>
      <c r="D262" s="11">
        <v>1</v>
      </c>
      <c r="E262">
        <v>334</v>
      </c>
      <c r="F262">
        <v>27</v>
      </c>
      <c r="G262">
        <v>34</v>
      </c>
      <c r="H262" s="5">
        <f t="shared" si="0"/>
        <v>334.459444444444</v>
      </c>
      <c r="I262">
        <v>84</v>
      </c>
      <c r="J262">
        <v>59</v>
      </c>
      <c r="K262">
        <v>58</v>
      </c>
      <c r="L262" s="5">
        <f t="shared" si="1"/>
        <v>84.9994444444444</v>
      </c>
      <c r="M262" s="5">
        <f t="shared" si="15"/>
        <v>13.0997089432872</v>
      </c>
      <c r="N262" s="5">
        <f t="shared" si="16"/>
        <v>1.14620401873002</v>
      </c>
      <c r="O262">
        <v>1.55</v>
      </c>
      <c r="P262">
        <v>1513.134</v>
      </c>
      <c r="Q262" s="5">
        <f t="shared" si="17"/>
        <v>1514.76420401873</v>
      </c>
      <c r="T262" s="19"/>
      <c r="U262" s="19">
        <v>339.8941667</v>
      </c>
      <c r="V262" s="19"/>
      <c r="W262" s="19">
        <f t="shared" si="24"/>
        <v>355679.572792823</v>
      </c>
      <c r="X262" s="19">
        <f t="shared" si="25"/>
        <v>3056032.6242382</v>
      </c>
      <c r="Y262" s="19"/>
    </row>
    <row r="263" ht="14.25" customHeight="1" spans="1:25">
      <c r="A263" s="10" t="s">
        <v>286</v>
      </c>
      <c r="B263" s="11">
        <v>1.185</v>
      </c>
      <c r="C263" s="11">
        <v>1.092</v>
      </c>
      <c r="D263" s="11">
        <v>1</v>
      </c>
      <c r="E263">
        <v>356</v>
      </c>
      <c r="F263">
        <v>5</v>
      </c>
      <c r="G263">
        <v>24</v>
      </c>
      <c r="H263" s="5">
        <f t="shared" si="0"/>
        <v>356.09</v>
      </c>
      <c r="I263">
        <v>85</v>
      </c>
      <c r="J263">
        <v>28</v>
      </c>
      <c r="K263">
        <v>56</v>
      </c>
      <c r="L263" s="5">
        <f t="shared" si="1"/>
        <v>85.4822222222222</v>
      </c>
      <c r="M263" s="5">
        <f t="shared" si="15"/>
        <v>18.3852174272438</v>
      </c>
      <c r="N263" s="5">
        <f t="shared" si="16"/>
        <v>1.45268804530834</v>
      </c>
      <c r="O263">
        <v>1.55</v>
      </c>
      <c r="P263">
        <v>1513.134</v>
      </c>
      <c r="Q263" s="5">
        <f t="shared" si="17"/>
        <v>1515.04468804531</v>
      </c>
      <c r="T263" s="19"/>
      <c r="U263" s="19">
        <v>340.8941667</v>
      </c>
      <c r="V263" s="19"/>
      <c r="W263" s="19">
        <f t="shared" si="24"/>
        <v>355677.991721393</v>
      </c>
      <c r="X263" s="19">
        <f t="shared" si="25"/>
        <v>3056055.02199364</v>
      </c>
      <c r="Y263" s="19"/>
    </row>
    <row r="264" ht="14.25" customHeight="1" spans="1:25">
      <c r="A264" s="10" t="s">
        <v>287</v>
      </c>
      <c r="B264" s="11">
        <v>1.235</v>
      </c>
      <c r="C264" s="11">
        <v>1.118</v>
      </c>
      <c r="D264" s="11">
        <v>1</v>
      </c>
      <c r="E264">
        <v>356</v>
      </c>
      <c r="F264">
        <v>28</v>
      </c>
      <c r="G264">
        <v>21</v>
      </c>
      <c r="H264" s="5">
        <f t="shared" si="0"/>
        <v>356.4725</v>
      </c>
      <c r="I264">
        <v>85</v>
      </c>
      <c r="J264">
        <v>9</v>
      </c>
      <c r="K264">
        <v>27</v>
      </c>
      <c r="L264" s="5">
        <f t="shared" si="1"/>
        <v>85.1575</v>
      </c>
      <c r="M264" s="5">
        <f t="shared" si="15"/>
        <v>23.3325336622716</v>
      </c>
      <c r="N264" s="5">
        <f t="shared" si="16"/>
        <v>1.97671797744253</v>
      </c>
      <c r="O264">
        <v>1.55</v>
      </c>
      <c r="P264">
        <v>1513.134</v>
      </c>
      <c r="Q264" s="5">
        <f t="shared" si="17"/>
        <v>1515.54271797744</v>
      </c>
      <c r="T264" s="19"/>
      <c r="U264" s="19">
        <v>341.8941667</v>
      </c>
      <c r="V264" s="19"/>
      <c r="W264" s="19">
        <f t="shared" si="24"/>
        <v>355683.762900619</v>
      </c>
      <c r="X264" s="19">
        <f t="shared" si="25"/>
        <v>3056057.36844223</v>
      </c>
      <c r="Y264" s="19"/>
    </row>
    <row r="265" ht="14.25" customHeight="1" spans="1:25">
      <c r="A265" s="10" t="s">
        <v>288</v>
      </c>
      <c r="B265" s="11">
        <v>1.084</v>
      </c>
      <c r="C265" s="11">
        <v>1.042</v>
      </c>
      <c r="D265" s="11">
        <v>1</v>
      </c>
      <c r="E265" s="11">
        <v>277</v>
      </c>
      <c r="F265" s="11">
        <v>11</v>
      </c>
      <c r="G265" s="11">
        <v>5</v>
      </c>
      <c r="H265" s="5">
        <f t="shared" si="0"/>
        <v>277.184722222222</v>
      </c>
      <c r="I265" s="11">
        <v>97</v>
      </c>
      <c r="J265" s="11">
        <v>52</v>
      </c>
      <c r="K265" s="11">
        <v>27</v>
      </c>
      <c r="L265" s="5">
        <f t="shared" si="1"/>
        <v>97.8741666666667</v>
      </c>
      <c r="M265" s="5">
        <f t="shared" si="15"/>
        <v>8.24234515410211</v>
      </c>
      <c r="N265" s="5">
        <f t="shared" si="16"/>
        <v>-1.13993230286154</v>
      </c>
      <c r="O265">
        <v>1.55</v>
      </c>
      <c r="P265">
        <v>1513.134</v>
      </c>
      <c r="Q265" s="5">
        <f t="shared" si="17"/>
        <v>1512.50206769714</v>
      </c>
      <c r="T265" s="19"/>
      <c r="U265" s="19">
        <v>342.8941667</v>
      </c>
      <c r="V265" s="19"/>
      <c r="W265" s="19">
        <f t="shared" si="24"/>
        <v>355713.014542033</v>
      </c>
      <c r="X265" s="19">
        <f t="shared" si="25"/>
        <v>3055983.46992211</v>
      </c>
      <c r="Y265" s="19"/>
    </row>
    <row r="266" ht="14.25" customHeight="1" spans="1:25">
      <c r="A266" s="10" t="s">
        <v>289</v>
      </c>
      <c r="B266" s="11">
        <v>1.1</v>
      </c>
      <c r="C266" s="11">
        <v>1.055</v>
      </c>
      <c r="D266" s="11">
        <v>1</v>
      </c>
      <c r="E266" s="11">
        <v>259</v>
      </c>
      <c r="F266" s="11">
        <v>6</v>
      </c>
      <c r="G266" s="11">
        <v>25</v>
      </c>
      <c r="H266" s="5">
        <f t="shared" si="0"/>
        <v>259.106944444444</v>
      </c>
      <c r="I266" s="11">
        <v>102</v>
      </c>
      <c r="J266" s="11">
        <v>55</v>
      </c>
      <c r="K266" s="11">
        <v>29</v>
      </c>
      <c r="L266" s="5">
        <f t="shared" si="1"/>
        <v>102.924722222222</v>
      </c>
      <c r="M266" s="5">
        <f t="shared" si="15"/>
        <v>9.4997142277197</v>
      </c>
      <c r="N266" s="5">
        <f t="shared" si="16"/>
        <v>-2.18003941910622</v>
      </c>
      <c r="O266">
        <v>1.55</v>
      </c>
      <c r="P266">
        <v>1513.134</v>
      </c>
      <c r="Q266" s="5">
        <f t="shared" si="17"/>
        <v>1511.44896058089</v>
      </c>
      <c r="T266" s="19"/>
      <c r="U266" s="19">
        <v>343.8941667</v>
      </c>
      <c r="V266" s="19"/>
      <c r="W266" s="19">
        <f t="shared" si="24"/>
        <v>355722.665502983</v>
      </c>
      <c r="X266" s="19">
        <f t="shared" si="25"/>
        <v>3055967.48423419</v>
      </c>
      <c r="Y266" s="19"/>
    </row>
    <row r="267" ht="14.25" customHeight="1" spans="1:25">
      <c r="A267" s="10" t="s">
        <v>290</v>
      </c>
      <c r="B267" s="11">
        <v>1.144</v>
      </c>
      <c r="C267" s="11">
        <v>1.072</v>
      </c>
      <c r="D267" s="11">
        <v>1</v>
      </c>
      <c r="E267" s="11">
        <v>242</v>
      </c>
      <c r="F267" s="11">
        <v>31</v>
      </c>
      <c r="G267" s="11">
        <v>45</v>
      </c>
      <c r="H267" s="5">
        <f t="shared" si="0"/>
        <v>242.529166666667</v>
      </c>
      <c r="I267" s="11">
        <v>103</v>
      </c>
      <c r="J267" s="11">
        <v>35</v>
      </c>
      <c r="K267" s="11">
        <v>12</v>
      </c>
      <c r="L267" s="5">
        <f t="shared" si="1"/>
        <v>103.586666666667</v>
      </c>
      <c r="M267" s="5">
        <f t="shared" si="15"/>
        <v>13.6053289439124</v>
      </c>
      <c r="N267" s="5">
        <f t="shared" si="16"/>
        <v>-3.28812425560189</v>
      </c>
      <c r="O267">
        <v>1.55</v>
      </c>
      <c r="P267">
        <v>1513.134</v>
      </c>
      <c r="Q267" s="5">
        <f t="shared" si="17"/>
        <v>1510.3238757444</v>
      </c>
      <c r="T267" s="19"/>
      <c r="U267" s="19">
        <v>344.8941667</v>
      </c>
      <c r="V267" s="19"/>
      <c r="W267" s="19">
        <f t="shared" si="24"/>
        <v>355731.341219701</v>
      </c>
      <c r="X267" s="19">
        <f t="shared" si="25"/>
        <v>3055952.69583907</v>
      </c>
      <c r="Y267" s="19"/>
    </row>
    <row r="268" ht="14.25" customHeight="1" spans="1:25">
      <c r="A268" s="10" t="s">
        <v>291</v>
      </c>
      <c r="B268" s="11">
        <v>1.12</v>
      </c>
      <c r="C268" s="11">
        <v>1.06</v>
      </c>
      <c r="D268" s="11">
        <v>1</v>
      </c>
      <c r="E268" s="11">
        <v>278</v>
      </c>
      <c r="F268" s="11">
        <v>29</v>
      </c>
      <c r="G268" s="11">
        <v>25</v>
      </c>
      <c r="H268" s="5">
        <f t="shared" si="0"/>
        <v>278.490277777778</v>
      </c>
      <c r="I268" s="11">
        <v>93</v>
      </c>
      <c r="J268" s="11">
        <v>41</v>
      </c>
      <c r="K268" s="11">
        <v>54</v>
      </c>
      <c r="L268" s="5">
        <f t="shared" si="1"/>
        <v>93.6983333333333</v>
      </c>
      <c r="M268" s="5">
        <f t="shared" si="15"/>
        <v>11.9500719223736</v>
      </c>
      <c r="N268" s="5">
        <f t="shared" si="16"/>
        <v>-0.77242741962018</v>
      </c>
      <c r="O268">
        <v>1.55</v>
      </c>
      <c r="P268">
        <v>1513.134</v>
      </c>
      <c r="Q268" s="5">
        <f t="shared" si="17"/>
        <v>1512.85157258038</v>
      </c>
      <c r="T268" s="19"/>
      <c r="U268" s="19">
        <v>345.8941667</v>
      </c>
      <c r="V268" s="19"/>
      <c r="W268" s="19">
        <f t="shared" si="24"/>
        <v>355726.673089309</v>
      </c>
      <c r="X268" s="19">
        <f t="shared" si="25"/>
        <v>3055988.64001834</v>
      </c>
      <c r="Y268" s="19"/>
    </row>
    <row r="269" ht="14.25" customHeight="1" spans="1:25">
      <c r="A269" s="10" t="s">
        <v>292</v>
      </c>
      <c r="B269" s="11">
        <v>1.148</v>
      </c>
      <c r="C269" s="11">
        <v>1.074</v>
      </c>
      <c r="D269" s="11">
        <v>1</v>
      </c>
      <c r="E269" s="11">
        <v>277</v>
      </c>
      <c r="F269" s="11">
        <v>53</v>
      </c>
      <c r="G269" s="11">
        <v>23</v>
      </c>
      <c r="H269" s="5">
        <f t="shared" si="0"/>
        <v>277.889722222222</v>
      </c>
      <c r="I269" s="11">
        <v>92</v>
      </c>
      <c r="J269" s="11">
        <v>41</v>
      </c>
      <c r="K269" s="11">
        <v>10</v>
      </c>
      <c r="L269" s="5">
        <f t="shared" si="1"/>
        <v>92.6861111111111</v>
      </c>
      <c r="M269" s="5">
        <f t="shared" si="15"/>
        <v>14.767495297229</v>
      </c>
      <c r="N269" s="5">
        <f t="shared" si="16"/>
        <v>-0.692829737604164</v>
      </c>
      <c r="O269">
        <v>1.55</v>
      </c>
      <c r="P269">
        <v>1513.134</v>
      </c>
      <c r="Q269" s="5">
        <f t="shared" si="17"/>
        <v>1512.9171702624</v>
      </c>
      <c r="T269" s="19"/>
      <c r="U269" s="19">
        <v>346.8941667</v>
      </c>
      <c r="V269" s="19"/>
      <c r="W269" s="19">
        <f t="shared" si="24"/>
        <v>355731.533375915</v>
      </c>
      <c r="X269" s="19">
        <f t="shared" si="25"/>
        <v>3055989.19849722</v>
      </c>
      <c r="Y269" s="19"/>
    </row>
    <row r="270" ht="14.25" customHeight="1" spans="1:25">
      <c r="A270" s="10" t="s">
        <v>293</v>
      </c>
      <c r="B270" s="11">
        <v>1.196</v>
      </c>
      <c r="C270" s="11">
        <v>1.098</v>
      </c>
      <c r="D270" s="11">
        <v>1</v>
      </c>
      <c r="E270" s="11">
        <v>277</v>
      </c>
      <c r="F270" s="11">
        <v>54</v>
      </c>
      <c r="G270" s="11">
        <v>19</v>
      </c>
      <c r="H270" s="5">
        <f t="shared" si="0"/>
        <v>277.905277777778</v>
      </c>
      <c r="I270" s="11">
        <v>91</v>
      </c>
      <c r="J270" s="11">
        <v>54</v>
      </c>
      <c r="K270" s="11">
        <v>44</v>
      </c>
      <c r="L270" s="5">
        <f t="shared" si="1"/>
        <v>91.9122222222222</v>
      </c>
      <c r="M270" s="5">
        <f t="shared" si="15"/>
        <v>19.5781764059647</v>
      </c>
      <c r="N270" s="5">
        <f t="shared" si="16"/>
        <v>-0.653656005736292</v>
      </c>
      <c r="O270">
        <v>1.55</v>
      </c>
      <c r="P270">
        <v>1513.134</v>
      </c>
      <c r="Q270" s="5">
        <f t="shared" si="17"/>
        <v>1512.93234399426</v>
      </c>
      <c r="T270" s="19"/>
      <c r="U270" s="19">
        <v>347.8941667</v>
      </c>
      <c r="V270" s="19"/>
      <c r="W270" s="19">
        <f t="shared" si="24"/>
        <v>355736.263230542</v>
      </c>
      <c r="X270" s="19">
        <f t="shared" si="25"/>
        <v>3055990.27218979</v>
      </c>
      <c r="Y270" s="19"/>
    </row>
    <row r="271" ht="14.25" customHeight="1" spans="1:25">
      <c r="A271" s="10" t="s">
        <v>294</v>
      </c>
      <c r="B271" s="11">
        <v>1.095</v>
      </c>
      <c r="C271" s="11">
        <v>1.048</v>
      </c>
      <c r="D271" s="11">
        <v>1</v>
      </c>
      <c r="E271" s="11">
        <v>287</v>
      </c>
      <c r="F271" s="11">
        <v>15</v>
      </c>
      <c r="G271" s="11">
        <v>15</v>
      </c>
      <c r="H271" s="5">
        <f t="shared" si="0"/>
        <v>287.254166666667</v>
      </c>
      <c r="I271" s="11">
        <v>92</v>
      </c>
      <c r="J271" s="11">
        <v>16</v>
      </c>
      <c r="K271" s="11">
        <v>8</v>
      </c>
      <c r="L271" s="5">
        <f t="shared" si="1"/>
        <v>92.2688888888889</v>
      </c>
      <c r="M271" s="5">
        <f t="shared" si="15"/>
        <v>9.48511058017255</v>
      </c>
      <c r="N271" s="5">
        <f t="shared" si="16"/>
        <v>-0.375802865260462</v>
      </c>
      <c r="O271">
        <v>1.55</v>
      </c>
      <c r="P271">
        <v>1513.134</v>
      </c>
      <c r="Q271" s="5">
        <f t="shared" si="17"/>
        <v>1513.26019713474</v>
      </c>
      <c r="T271" s="19"/>
      <c r="U271" s="19">
        <v>348.8941667</v>
      </c>
      <c r="V271" s="19"/>
      <c r="W271" s="19">
        <f t="shared" si="24"/>
        <v>355739.213565125</v>
      </c>
      <c r="X271" s="19">
        <f t="shared" si="25"/>
        <v>3056000.42177465</v>
      </c>
      <c r="Y271" s="19"/>
    </row>
    <row r="272" ht="14.25" customHeight="1" spans="1:25">
      <c r="A272" s="10" t="s">
        <v>295</v>
      </c>
      <c r="B272" s="11">
        <v>1.112</v>
      </c>
      <c r="C272" s="11">
        <v>1.05</v>
      </c>
      <c r="D272" s="11">
        <v>1</v>
      </c>
      <c r="E272" s="11">
        <v>294</v>
      </c>
      <c r="F272" s="11">
        <v>12</v>
      </c>
      <c r="G272" s="11">
        <v>32</v>
      </c>
      <c r="H272" s="5">
        <f t="shared" si="0"/>
        <v>294.208888888889</v>
      </c>
      <c r="I272" s="11">
        <v>90</v>
      </c>
      <c r="J272" s="11">
        <v>12</v>
      </c>
      <c r="K272" s="11">
        <v>56</v>
      </c>
      <c r="L272" s="5">
        <f t="shared" si="1"/>
        <v>90.2155555555556</v>
      </c>
      <c r="M272" s="5">
        <f t="shared" si="15"/>
        <v>11.1998414781435</v>
      </c>
      <c r="N272" s="5">
        <f t="shared" si="16"/>
        <v>-0.0421357290627329</v>
      </c>
      <c r="O272">
        <v>1.55</v>
      </c>
      <c r="P272">
        <v>1513.134</v>
      </c>
      <c r="Q272" s="5">
        <f t="shared" si="17"/>
        <v>1513.59186427094</v>
      </c>
      <c r="T272" s="19"/>
      <c r="U272" s="19">
        <v>349.8941667</v>
      </c>
      <c r="V272" s="19"/>
      <c r="W272" s="19">
        <f t="shared" si="24"/>
        <v>355742.921061558</v>
      </c>
      <c r="X272" s="19">
        <f t="shared" si="25"/>
        <v>3056008.19133238</v>
      </c>
      <c r="Y272" s="19"/>
    </row>
    <row r="273" ht="14.25" customHeight="1" spans="1:25">
      <c r="A273" s="10" t="s">
        <v>296</v>
      </c>
      <c r="B273" s="11">
        <v>1.112</v>
      </c>
      <c r="C273" s="11">
        <v>1.056</v>
      </c>
      <c r="D273" s="11">
        <v>1</v>
      </c>
      <c r="E273" s="11">
        <v>294</v>
      </c>
      <c r="F273" s="11">
        <v>33</v>
      </c>
      <c r="G273" s="11">
        <v>4</v>
      </c>
      <c r="H273" s="5">
        <f t="shared" si="0"/>
        <v>294.551111111111</v>
      </c>
      <c r="I273" s="11">
        <v>86</v>
      </c>
      <c r="J273" s="11">
        <v>57</v>
      </c>
      <c r="K273" s="11">
        <v>39</v>
      </c>
      <c r="L273" s="5">
        <f t="shared" si="1"/>
        <v>86.9608333333333</v>
      </c>
      <c r="M273" s="5">
        <f t="shared" si="15"/>
        <v>11.1685171208328</v>
      </c>
      <c r="N273" s="5">
        <f t="shared" si="16"/>
        <v>0.592973081169685</v>
      </c>
      <c r="O273">
        <v>1.55</v>
      </c>
      <c r="P273">
        <v>1513.134</v>
      </c>
      <c r="Q273" s="5">
        <f t="shared" si="17"/>
        <v>1514.22097308117</v>
      </c>
      <c r="T273" s="19"/>
      <c r="U273" s="19">
        <v>350.8941667</v>
      </c>
      <c r="V273" s="19"/>
      <c r="W273" s="19">
        <f t="shared" si="24"/>
        <v>355747.929755138</v>
      </c>
      <c r="X273" s="19">
        <f t="shared" si="25"/>
        <v>3056009.38608954</v>
      </c>
      <c r="Y273" s="19"/>
    </row>
    <row r="274" ht="14.25" customHeight="1" spans="1:25">
      <c r="A274" s="10" t="s">
        <v>297</v>
      </c>
      <c r="B274" s="11">
        <v>1.116</v>
      </c>
      <c r="C274" s="11">
        <v>1.058</v>
      </c>
      <c r="D274" s="11">
        <v>1</v>
      </c>
      <c r="E274" s="11">
        <v>288</v>
      </c>
      <c r="F274" s="11">
        <v>41</v>
      </c>
      <c r="G274" s="11">
        <v>38</v>
      </c>
      <c r="H274" s="5">
        <f t="shared" si="0"/>
        <v>288.693888888889</v>
      </c>
      <c r="I274" s="11">
        <v>88</v>
      </c>
      <c r="J274" s="11">
        <v>53</v>
      </c>
      <c r="K274" s="11">
        <v>30</v>
      </c>
      <c r="L274" s="5">
        <f t="shared" si="1"/>
        <v>88.8916666666667</v>
      </c>
      <c r="M274" s="5">
        <f t="shared" si="15"/>
        <v>11.5956599039232</v>
      </c>
      <c r="N274" s="5">
        <f t="shared" si="16"/>
        <v>0.224335191302494</v>
      </c>
      <c r="O274">
        <v>1.55</v>
      </c>
      <c r="P274">
        <v>1513.134</v>
      </c>
      <c r="Q274" s="5">
        <f t="shared" si="17"/>
        <v>1513.8503351913</v>
      </c>
      <c r="T274" s="19"/>
      <c r="U274" s="19">
        <v>351.8941667</v>
      </c>
      <c r="V274" s="19"/>
      <c r="W274" s="19">
        <f t="shared" si="24"/>
        <v>355753.838577059</v>
      </c>
      <c r="X274" s="19">
        <f t="shared" si="25"/>
        <v>3056004.35663702</v>
      </c>
      <c r="Y274" s="19"/>
    </row>
    <row r="275" ht="14.25" customHeight="1" spans="1:25">
      <c r="A275" s="10" t="s">
        <v>298</v>
      </c>
      <c r="B275" s="11">
        <v>1.125</v>
      </c>
      <c r="C275" s="11">
        <v>1.062</v>
      </c>
      <c r="D275" s="11">
        <v>1</v>
      </c>
      <c r="E275" s="11">
        <v>288</v>
      </c>
      <c r="F275" s="11">
        <v>37</v>
      </c>
      <c r="G275" s="11">
        <v>58</v>
      </c>
      <c r="H275" s="5">
        <f t="shared" si="0"/>
        <v>288.632777777778</v>
      </c>
      <c r="I275" s="11">
        <v>86</v>
      </c>
      <c r="J275" s="11">
        <v>56</v>
      </c>
      <c r="K275" s="11">
        <v>0</v>
      </c>
      <c r="L275" s="5">
        <f t="shared" si="1"/>
        <v>86.9333333333333</v>
      </c>
      <c r="M275" s="5">
        <f t="shared" si="15"/>
        <v>12.4642247120768</v>
      </c>
      <c r="N275" s="5">
        <f t="shared" si="16"/>
        <v>0.667765848044281</v>
      </c>
      <c r="O275">
        <v>1.55</v>
      </c>
      <c r="P275">
        <v>1513.134</v>
      </c>
      <c r="Q275" s="5">
        <f t="shared" si="17"/>
        <v>1514.28976584804</v>
      </c>
      <c r="T275" s="19"/>
      <c r="U275" s="19">
        <v>352.8941667</v>
      </c>
      <c r="V275" s="19"/>
      <c r="W275" s="19">
        <f t="shared" si="24"/>
        <v>355758.840402391</v>
      </c>
      <c r="X275" s="19">
        <f t="shared" si="25"/>
        <v>3056004.96289013</v>
      </c>
      <c r="Y275" s="19"/>
    </row>
    <row r="276" ht="14.25" customHeight="1" spans="1:25">
      <c r="A276" s="10" t="s">
        <v>299</v>
      </c>
      <c r="B276" s="11">
        <v>1.128</v>
      </c>
      <c r="C276" s="11">
        <v>1.064</v>
      </c>
      <c r="D276" s="11">
        <v>1</v>
      </c>
      <c r="E276" s="11">
        <v>292</v>
      </c>
      <c r="F276" s="11">
        <v>20</v>
      </c>
      <c r="G276" s="12">
        <v>35</v>
      </c>
      <c r="H276" s="5">
        <f t="shared" si="0"/>
        <v>292.343055555556</v>
      </c>
      <c r="I276" s="11">
        <v>84</v>
      </c>
      <c r="J276" s="11">
        <v>10</v>
      </c>
      <c r="K276" s="11">
        <v>58</v>
      </c>
      <c r="L276" s="5">
        <f t="shared" si="1"/>
        <v>84.1827777777778</v>
      </c>
      <c r="M276" s="5">
        <f t="shared" si="15"/>
        <v>12.6685068210541</v>
      </c>
      <c r="N276" s="5">
        <f t="shared" si="16"/>
        <v>1.29066736008848</v>
      </c>
      <c r="O276">
        <v>1.55</v>
      </c>
      <c r="P276">
        <v>1513.134</v>
      </c>
      <c r="Q276" s="5">
        <f t="shared" si="17"/>
        <v>1514.91066736009</v>
      </c>
      <c r="T276" s="19"/>
      <c r="U276" s="19">
        <v>353.8941667</v>
      </c>
      <c r="V276" s="19"/>
      <c r="W276" s="19">
        <f t="shared" si="24"/>
        <v>355763.449842076</v>
      </c>
      <c r="X276" s="19">
        <f t="shared" si="25"/>
        <v>3056009.23162857</v>
      </c>
      <c r="Y276" s="19"/>
    </row>
    <row r="277" ht="14.25" customHeight="1" spans="1:25">
      <c r="A277" s="10" t="s">
        <v>300</v>
      </c>
      <c r="B277" s="11">
        <v>1.142</v>
      </c>
      <c r="C277" s="11">
        <v>1.071</v>
      </c>
      <c r="D277">
        <v>1</v>
      </c>
      <c r="E277" s="11">
        <v>293</v>
      </c>
      <c r="F277" s="11">
        <v>32</v>
      </c>
      <c r="G277" s="11">
        <v>56</v>
      </c>
      <c r="H277" s="5">
        <f t="shared" si="0"/>
        <v>293.548888888889</v>
      </c>
      <c r="I277" s="11">
        <v>82</v>
      </c>
      <c r="J277" s="11">
        <v>31</v>
      </c>
      <c r="K277" s="11">
        <v>58</v>
      </c>
      <c r="L277" s="5">
        <f t="shared" si="1"/>
        <v>82.5327777777778</v>
      </c>
      <c r="M277" s="5">
        <f t="shared" si="15"/>
        <v>13.9601714035913</v>
      </c>
      <c r="N277" s="5">
        <f t="shared" si="16"/>
        <v>1.82976728393215</v>
      </c>
      <c r="O277">
        <v>1.55</v>
      </c>
      <c r="P277">
        <v>1513.134</v>
      </c>
      <c r="Q277" s="5">
        <f t="shared" si="17"/>
        <v>1515.44276728393</v>
      </c>
      <c r="T277" s="19"/>
      <c r="U277" s="19">
        <v>354.8941667</v>
      </c>
      <c r="V277" s="19"/>
      <c r="W277" s="19">
        <f t="shared" si="24"/>
        <v>355768.420410318</v>
      </c>
      <c r="X277" s="19">
        <f t="shared" si="25"/>
        <v>3056010.93108982</v>
      </c>
      <c r="Y277" s="19"/>
    </row>
    <row r="278" ht="14.25" customHeight="1" spans="1:25">
      <c r="A278" s="10" t="s">
        <v>301</v>
      </c>
      <c r="B278" s="11">
        <v>1.14</v>
      </c>
      <c r="C278" s="11">
        <v>1.07</v>
      </c>
      <c r="D278" s="11">
        <v>1</v>
      </c>
      <c r="E278" s="11">
        <v>287</v>
      </c>
      <c r="F278" s="11">
        <v>29</v>
      </c>
      <c r="G278" s="11">
        <v>49</v>
      </c>
      <c r="H278" s="5">
        <f t="shared" si="0"/>
        <v>287.496944444444</v>
      </c>
      <c r="I278" s="11">
        <v>85</v>
      </c>
      <c r="J278" s="11">
        <v>21</v>
      </c>
      <c r="K278" s="11">
        <v>7</v>
      </c>
      <c r="L278" s="5">
        <f t="shared" si="1"/>
        <v>85.3519444444444</v>
      </c>
      <c r="M278" s="5">
        <f t="shared" si="15"/>
        <v>13.908066779724</v>
      </c>
      <c r="N278" s="5">
        <f t="shared" si="16"/>
        <v>1.13075787278864</v>
      </c>
      <c r="O278">
        <v>1.55</v>
      </c>
      <c r="P278">
        <v>1513.134</v>
      </c>
      <c r="Q278" s="5">
        <f t="shared" si="17"/>
        <v>1514.74475787279</v>
      </c>
      <c r="T278" s="19"/>
      <c r="U278" s="19">
        <v>355.8941667</v>
      </c>
      <c r="V278" s="19"/>
      <c r="W278" s="19">
        <f t="shared" si="24"/>
        <v>355773.960508319</v>
      </c>
      <c r="X278" s="19">
        <f t="shared" si="25"/>
        <v>3056005.30608315</v>
      </c>
      <c r="Y278" s="19"/>
    </row>
    <row r="279" ht="14.25" customHeight="1" spans="1:25">
      <c r="A279" s="10" t="s">
        <v>302</v>
      </c>
      <c r="B279" s="11">
        <v>0.958</v>
      </c>
      <c r="C279" s="11">
        <v>0.88</v>
      </c>
      <c r="D279" s="11">
        <v>0.8</v>
      </c>
      <c r="E279" s="11">
        <v>287</v>
      </c>
      <c r="F279" s="11">
        <v>19</v>
      </c>
      <c r="G279" s="11">
        <v>12</v>
      </c>
      <c r="H279" s="5">
        <f t="shared" si="0"/>
        <v>287.32</v>
      </c>
      <c r="I279" s="11">
        <v>85</v>
      </c>
      <c r="J279" s="11">
        <v>36</v>
      </c>
      <c r="K279" s="11">
        <v>59</v>
      </c>
      <c r="L279" s="5">
        <f t="shared" si="1"/>
        <v>85.6163888888889</v>
      </c>
      <c r="M279" s="5">
        <f t="shared" si="15"/>
        <v>15.7076943451265</v>
      </c>
      <c r="N279" s="5">
        <f t="shared" si="16"/>
        <v>1.20412167702441</v>
      </c>
      <c r="O279">
        <v>1.55</v>
      </c>
      <c r="P279">
        <v>1513.134</v>
      </c>
      <c r="Q279" s="5">
        <f t="shared" si="17"/>
        <v>1515.00812167702</v>
      </c>
      <c r="T279" s="19"/>
      <c r="U279" s="19">
        <v>356.8941667</v>
      </c>
      <c r="V279" s="19"/>
      <c r="W279" s="19">
        <f t="shared" si="24"/>
        <v>355778.97786644</v>
      </c>
      <c r="X279" s="19">
        <f t="shared" si="25"/>
        <v>3056005.44497272</v>
      </c>
      <c r="Y279" s="19"/>
    </row>
    <row r="280" ht="14.25" customHeight="1" spans="1:25">
      <c r="A280" s="10" t="s">
        <v>303</v>
      </c>
      <c r="B280" s="11">
        <v>0.758</v>
      </c>
      <c r="C280" s="11">
        <v>0.678</v>
      </c>
      <c r="D280" s="11">
        <v>0.6</v>
      </c>
      <c r="E280" s="11">
        <v>292</v>
      </c>
      <c r="F280" s="11">
        <v>32</v>
      </c>
      <c r="G280" s="11">
        <v>58</v>
      </c>
      <c r="H280" s="5">
        <f t="shared" si="0"/>
        <v>292.549444444444</v>
      </c>
      <c r="I280" s="11">
        <v>83</v>
      </c>
      <c r="J280" s="11">
        <v>12</v>
      </c>
      <c r="K280" s="11">
        <v>18</v>
      </c>
      <c r="L280" s="5">
        <f t="shared" si="1"/>
        <v>83.205</v>
      </c>
      <c r="M280" s="5">
        <f t="shared" si="15"/>
        <v>15.5788160039414</v>
      </c>
      <c r="N280" s="5">
        <f t="shared" si="16"/>
        <v>1.85628251557083</v>
      </c>
      <c r="O280">
        <v>1.55</v>
      </c>
      <c r="P280">
        <v>1513.134</v>
      </c>
      <c r="Q280" s="5">
        <f t="shared" si="17"/>
        <v>1515.86228251557</v>
      </c>
      <c r="T280" s="19"/>
      <c r="U280" s="19">
        <v>357.8941667</v>
      </c>
      <c r="V280" s="19"/>
      <c r="W280" s="19">
        <f t="shared" si="24"/>
        <v>355783.795139129</v>
      </c>
      <c r="X280" s="19">
        <f t="shared" si="25"/>
        <v>3056010.89887349</v>
      </c>
      <c r="Y280" s="19"/>
    </row>
    <row r="281" ht="14.25" customHeight="1" spans="1:25">
      <c r="A281" s="10" t="s">
        <v>304</v>
      </c>
      <c r="B281" s="11">
        <v>0.778</v>
      </c>
      <c r="C281" s="11">
        <v>0.688</v>
      </c>
      <c r="D281" s="11">
        <v>0.6</v>
      </c>
      <c r="E281" s="11">
        <v>292</v>
      </c>
      <c r="F281" s="11">
        <v>9</v>
      </c>
      <c r="G281" s="11">
        <v>2</v>
      </c>
      <c r="H281" s="5">
        <f t="shared" si="0"/>
        <v>292.150555555556</v>
      </c>
      <c r="I281" s="11">
        <v>83</v>
      </c>
      <c r="J281" s="11">
        <v>38</v>
      </c>
      <c r="K281" s="11">
        <v>50</v>
      </c>
      <c r="L281" s="5">
        <f t="shared" si="1"/>
        <v>83.6472222222222</v>
      </c>
      <c r="M281" s="5">
        <f t="shared" si="15"/>
        <v>17.5820676799874</v>
      </c>
      <c r="N281" s="5">
        <f t="shared" si="16"/>
        <v>1.95747306497911</v>
      </c>
      <c r="O281">
        <v>1.55</v>
      </c>
      <c r="P281">
        <v>1513.134</v>
      </c>
      <c r="Q281" s="5">
        <f t="shared" si="17"/>
        <v>1515.95347306498</v>
      </c>
      <c r="T281" s="19"/>
      <c r="U281" s="19">
        <v>358.8941667</v>
      </c>
      <c r="V281" s="19"/>
      <c r="W281" s="19">
        <f t="shared" si="24"/>
        <v>355788.906718354</v>
      </c>
      <c r="X281" s="19">
        <f t="shared" si="25"/>
        <v>3056010.64314323</v>
      </c>
      <c r="Y281" s="19"/>
    </row>
    <row r="282" ht="14.25" customHeight="1" spans="1:25">
      <c r="A282" s="10" t="s">
        <v>305</v>
      </c>
      <c r="B282" s="11">
        <v>0.78</v>
      </c>
      <c r="C282" s="11">
        <v>0.69</v>
      </c>
      <c r="D282" s="11">
        <v>0.6</v>
      </c>
      <c r="E282" s="11">
        <v>287</v>
      </c>
      <c r="F282" s="11">
        <v>20</v>
      </c>
      <c r="G282" s="11">
        <v>10</v>
      </c>
      <c r="H282" s="5">
        <f t="shared" si="0"/>
        <v>287.336111111111</v>
      </c>
      <c r="I282" s="11">
        <v>85</v>
      </c>
      <c r="J282" s="11">
        <v>59</v>
      </c>
      <c r="K282" s="11">
        <v>21</v>
      </c>
      <c r="L282" s="5">
        <f t="shared" si="1"/>
        <v>85.9891666666667</v>
      </c>
      <c r="M282" s="5">
        <f t="shared" si="15"/>
        <v>17.9119383208195</v>
      </c>
      <c r="N282" s="5">
        <f t="shared" si="16"/>
        <v>1.25592808946577</v>
      </c>
      <c r="O282">
        <v>1.55</v>
      </c>
      <c r="P282">
        <v>1513.134</v>
      </c>
      <c r="Q282" s="5">
        <f t="shared" si="17"/>
        <v>1515.24992808947</v>
      </c>
      <c r="T282" s="19"/>
      <c r="U282" s="19">
        <v>359.8941667</v>
      </c>
      <c r="V282" s="19"/>
      <c r="W282" s="19">
        <f t="shared" si="24"/>
        <v>355794.014250644</v>
      </c>
      <c r="X282" s="19">
        <f t="shared" si="25"/>
        <v>3056005.88262093</v>
      </c>
      <c r="Y282" s="19"/>
    </row>
    <row r="283" ht="14.25" customHeight="1" spans="1:25">
      <c r="A283" s="10" t="s">
        <v>306</v>
      </c>
      <c r="B283" s="11">
        <v>1.18</v>
      </c>
      <c r="C283" s="11">
        <v>1.09</v>
      </c>
      <c r="D283" s="11">
        <v>1</v>
      </c>
      <c r="E283" s="11">
        <v>283</v>
      </c>
      <c r="F283" s="11">
        <v>6</v>
      </c>
      <c r="G283" s="11">
        <v>0</v>
      </c>
      <c r="H283" s="5">
        <f t="shared" si="0"/>
        <v>283.1</v>
      </c>
      <c r="I283" s="11">
        <v>87</v>
      </c>
      <c r="J283" s="11">
        <v>20</v>
      </c>
      <c r="K283" s="11">
        <v>58</v>
      </c>
      <c r="L283" s="5">
        <f t="shared" si="1"/>
        <v>87.3494444444444</v>
      </c>
      <c r="M283" s="5">
        <f t="shared" si="15"/>
        <v>17.9615061602673</v>
      </c>
      <c r="N283" s="5">
        <f t="shared" si="16"/>
        <v>0.831509073606992</v>
      </c>
      <c r="O283">
        <v>1.55</v>
      </c>
      <c r="P283">
        <v>1513.134</v>
      </c>
      <c r="Q283" s="5">
        <f t="shared" si="17"/>
        <v>1514.42550907361</v>
      </c>
      <c r="T283" s="19"/>
      <c r="U283" s="19">
        <v>360.8941667</v>
      </c>
      <c r="V283" s="19"/>
      <c r="W283" s="19">
        <f t="shared" si="24"/>
        <v>355798.962922803</v>
      </c>
      <c r="X283" s="19">
        <f t="shared" si="25"/>
        <v>3056001.61252591</v>
      </c>
      <c r="Y283" s="19"/>
    </row>
    <row r="284" ht="14.25" customHeight="1" spans="1:25">
      <c r="A284" s="10" t="s">
        <v>307</v>
      </c>
      <c r="B284" s="11">
        <v>0.56</v>
      </c>
      <c r="C284" s="11">
        <v>0.48</v>
      </c>
      <c r="D284" s="11">
        <v>0.4</v>
      </c>
      <c r="E284" s="11">
        <v>282</v>
      </c>
      <c r="F284" s="11">
        <v>14</v>
      </c>
      <c r="G284" s="11">
        <v>30</v>
      </c>
      <c r="H284" s="5">
        <f t="shared" si="0"/>
        <v>282.241666666667</v>
      </c>
      <c r="I284" s="11">
        <v>90</v>
      </c>
      <c r="J284" s="11">
        <v>29</v>
      </c>
      <c r="K284" s="11">
        <v>51</v>
      </c>
      <c r="L284" s="5">
        <f t="shared" si="1"/>
        <v>90.4975</v>
      </c>
      <c r="M284" s="5">
        <f t="shared" si="15"/>
        <v>15.9987937148722</v>
      </c>
      <c r="N284" s="5">
        <f t="shared" si="16"/>
        <v>-0.138921225595566</v>
      </c>
      <c r="O284">
        <v>1.55</v>
      </c>
      <c r="P284">
        <v>1513.134</v>
      </c>
      <c r="Q284" s="5">
        <f t="shared" si="17"/>
        <v>1514.0650787744</v>
      </c>
      <c r="T284" s="19"/>
      <c r="U284" s="19">
        <v>361.8941667</v>
      </c>
      <c r="V284" s="19"/>
      <c r="W284" s="19">
        <f t="shared" si="24"/>
        <v>355803.874053683</v>
      </c>
      <c r="X284" s="19">
        <f t="shared" si="25"/>
        <v>3056000.63444595</v>
      </c>
      <c r="Y284" s="19"/>
    </row>
    <row r="285" ht="14.25" customHeight="1" spans="1:25">
      <c r="A285" s="10" t="s">
        <v>308</v>
      </c>
      <c r="B285" s="11">
        <v>0.745</v>
      </c>
      <c r="C285" s="11">
        <v>0.673</v>
      </c>
      <c r="D285" s="11">
        <v>0.6</v>
      </c>
      <c r="E285" s="11">
        <v>282</v>
      </c>
      <c r="F285" s="11">
        <v>33</v>
      </c>
      <c r="G285" s="11">
        <v>52</v>
      </c>
      <c r="H285" s="5">
        <f t="shared" si="0"/>
        <v>282.564444444444</v>
      </c>
      <c r="I285" s="11">
        <v>90</v>
      </c>
      <c r="J285" s="11">
        <v>32</v>
      </c>
      <c r="K285" s="11">
        <v>11</v>
      </c>
      <c r="L285" s="5">
        <f t="shared" si="1"/>
        <v>90.5363888888889</v>
      </c>
      <c r="M285" s="5">
        <f t="shared" si="15"/>
        <v>14.4987292222685</v>
      </c>
      <c r="N285" s="5">
        <f t="shared" si="16"/>
        <v>-0.135737475412117</v>
      </c>
      <c r="O285">
        <v>1.55</v>
      </c>
      <c r="P285">
        <v>1513.134</v>
      </c>
      <c r="Q285" s="5">
        <f t="shared" si="17"/>
        <v>1513.87526252459</v>
      </c>
      <c r="T285" s="19"/>
      <c r="U285" s="19">
        <v>362.8941667</v>
      </c>
      <c r="V285" s="19"/>
      <c r="W285" s="19">
        <f t="shared" si="24"/>
        <v>355808.812035038</v>
      </c>
      <c r="X285" s="19">
        <f t="shared" si="25"/>
        <v>3056000.7510343</v>
      </c>
      <c r="Y285" s="19"/>
    </row>
    <row r="286" ht="14.25" customHeight="1" spans="1:25">
      <c r="A286" s="10" t="s">
        <v>309</v>
      </c>
      <c r="B286" s="11">
        <v>0.834</v>
      </c>
      <c r="C286" s="11">
        <v>0.767</v>
      </c>
      <c r="D286" s="11">
        <v>0.7</v>
      </c>
      <c r="E286" s="11">
        <v>263</v>
      </c>
      <c r="F286" s="11">
        <v>21</v>
      </c>
      <c r="G286" s="11">
        <v>6</v>
      </c>
      <c r="H286" s="5">
        <f t="shared" si="0"/>
        <v>263.351666666667</v>
      </c>
      <c r="I286" s="11">
        <v>97</v>
      </c>
      <c r="J286" s="11">
        <v>0</v>
      </c>
      <c r="K286" s="11">
        <v>31</v>
      </c>
      <c r="L286" s="5">
        <f t="shared" si="1"/>
        <v>97.0086111111111</v>
      </c>
      <c r="M286" s="5">
        <f t="shared" si="15"/>
        <v>13.2004938619875</v>
      </c>
      <c r="N286" s="5">
        <f t="shared" si="16"/>
        <v>-1.62283072138268</v>
      </c>
      <c r="O286">
        <v>1.55</v>
      </c>
      <c r="P286">
        <v>1513.134</v>
      </c>
      <c r="Q286" s="5">
        <f t="shared" si="17"/>
        <v>1512.29416927862</v>
      </c>
      <c r="T286" s="19"/>
      <c r="U286" s="19">
        <v>363.8941667</v>
      </c>
      <c r="V286" s="19"/>
      <c r="W286" s="19">
        <f t="shared" si="24"/>
        <v>355812.43019046</v>
      </c>
      <c r="X286" s="19">
        <f t="shared" si="25"/>
        <v>3055981.29063988</v>
      </c>
      <c r="Y286" s="19"/>
    </row>
    <row r="287" ht="14.25" customHeight="1" spans="1:25">
      <c r="A287" s="10" t="s">
        <v>310</v>
      </c>
      <c r="B287" s="11">
        <v>1.664</v>
      </c>
      <c r="C287" s="11">
        <v>1.582</v>
      </c>
      <c r="D287" s="11">
        <v>1.5</v>
      </c>
      <c r="E287" s="11">
        <v>267</v>
      </c>
      <c r="F287" s="11">
        <v>41</v>
      </c>
      <c r="G287" s="11">
        <v>53</v>
      </c>
      <c r="H287" s="5">
        <f t="shared" si="0"/>
        <v>267.698055555556</v>
      </c>
      <c r="I287" s="11">
        <v>91</v>
      </c>
      <c r="J287" s="11">
        <v>52</v>
      </c>
      <c r="K287" s="11">
        <v>7</v>
      </c>
      <c r="L287" s="5">
        <f t="shared" si="1"/>
        <v>91.8686111111111</v>
      </c>
      <c r="M287" s="5">
        <f t="shared" si="15"/>
        <v>16.3825625709048</v>
      </c>
      <c r="N287" s="5">
        <f t="shared" si="16"/>
        <v>-0.534480844584383</v>
      </c>
      <c r="O287">
        <v>1.55</v>
      </c>
      <c r="P287">
        <v>1513.134</v>
      </c>
      <c r="Q287" s="5">
        <f t="shared" si="17"/>
        <v>1512.56751915542</v>
      </c>
      <c r="T287" s="19"/>
      <c r="U287" s="19">
        <v>364.8941667</v>
      </c>
      <c r="V287" s="19"/>
      <c r="W287" s="19">
        <f t="shared" si="24"/>
        <v>355817.383789529</v>
      </c>
      <c r="X287" s="19">
        <f t="shared" si="25"/>
        <v>3055985.26902504</v>
      </c>
      <c r="Y287" s="19"/>
    </row>
    <row r="288" ht="14.25" customHeight="1" spans="1:25">
      <c r="A288" s="6" t="s">
        <v>311</v>
      </c>
      <c r="B288" s="25">
        <v>1.1</v>
      </c>
      <c r="C288" s="25">
        <v>1.05</v>
      </c>
      <c r="D288" s="25">
        <v>1</v>
      </c>
      <c r="E288" s="7">
        <v>128</v>
      </c>
      <c r="F288" s="7">
        <v>38</v>
      </c>
      <c r="G288" s="7">
        <v>20</v>
      </c>
      <c r="H288" s="8">
        <f t="shared" si="0"/>
        <v>128.638888888889</v>
      </c>
      <c r="I288" s="7">
        <v>91</v>
      </c>
      <c r="J288" s="7">
        <v>57</v>
      </c>
      <c r="K288" s="7">
        <v>1</v>
      </c>
      <c r="L288" s="8">
        <f t="shared" si="1"/>
        <v>91.9502777777778</v>
      </c>
      <c r="M288" s="8">
        <f t="shared" si="15"/>
        <v>9.98841809646919</v>
      </c>
      <c r="N288" s="8">
        <f t="shared" si="16"/>
        <v>-0.340124822409035</v>
      </c>
      <c r="O288" s="7">
        <v>1.46</v>
      </c>
      <c r="P288" s="7">
        <v>1497.001</v>
      </c>
      <c r="Q288" s="8">
        <f t="shared" si="17"/>
        <v>1497.07087517759</v>
      </c>
      <c r="R288" s="7" t="s">
        <v>312</v>
      </c>
      <c r="S288" s="7">
        <v>355707.602</v>
      </c>
      <c r="T288" s="7">
        <v>3055717.669</v>
      </c>
      <c r="U288" s="7">
        <v>355.6975</v>
      </c>
      <c r="V288" s="7"/>
      <c r="W288" s="7">
        <f>$S$288+(H288*SIN(U288*3.141592654/180))</f>
        <v>355697.951222873</v>
      </c>
      <c r="X288" s="7">
        <f t="shared" si="25"/>
        <v>3055846.82336663</v>
      </c>
      <c r="Y288" s="7"/>
    </row>
    <row r="289" ht="14.25" customHeight="1" spans="1:25">
      <c r="A289" s="10" t="s">
        <v>313</v>
      </c>
      <c r="B289" s="12">
        <v>1.1</v>
      </c>
      <c r="C289" s="12">
        <v>1.05</v>
      </c>
      <c r="D289" s="12">
        <v>1</v>
      </c>
      <c r="E289">
        <v>122</v>
      </c>
      <c r="F289">
        <v>35</v>
      </c>
      <c r="G289">
        <v>46</v>
      </c>
      <c r="H289" s="5">
        <f t="shared" si="0"/>
        <v>122.596111111111</v>
      </c>
      <c r="I289">
        <v>92</v>
      </c>
      <c r="J289">
        <v>10</v>
      </c>
      <c r="K289">
        <v>17</v>
      </c>
      <c r="L289" s="5">
        <f t="shared" si="1"/>
        <v>92.1713888888889</v>
      </c>
      <c r="M289" s="5">
        <f t="shared" si="15"/>
        <v>9.98564437751001</v>
      </c>
      <c r="N289" s="5">
        <f t="shared" si="16"/>
        <v>-0.378616086561176</v>
      </c>
      <c r="O289">
        <v>1.46</v>
      </c>
      <c r="P289">
        <v>1497.001</v>
      </c>
      <c r="Q289" s="5">
        <f t="shared" si="17"/>
        <v>1497.03238391344</v>
      </c>
      <c r="T289" s="19"/>
      <c r="U289" s="19">
        <v>356.6975</v>
      </c>
      <c r="V289" s="19"/>
      <c r="W289" s="19">
        <f t="shared" ref="W289:W320" si="26">$S$288+(H289*SIN(U289*3.141592654/180))</f>
        <v>355700.539533867</v>
      </c>
      <c r="X289" s="19">
        <f t="shared" ref="X289:X320" si="27">$T$213+(H289*COS(U289*3.141592654/180))</f>
        <v>3055840.93951624</v>
      </c>
      <c r="Y289" s="19"/>
    </row>
    <row r="290" ht="14.25" customHeight="1" spans="1:25">
      <c r="A290" s="10" t="s">
        <v>314</v>
      </c>
      <c r="B290">
        <v>1.1</v>
      </c>
      <c r="C290">
        <v>1.05</v>
      </c>
      <c r="D290">
        <v>1</v>
      </c>
      <c r="E290">
        <v>114</v>
      </c>
      <c r="F290">
        <v>57</v>
      </c>
      <c r="G290">
        <v>17</v>
      </c>
      <c r="H290" s="5">
        <f t="shared" si="0"/>
        <v>114.954722222222</v>
      </c>
      <c r="I290">
        <v>90</v>
      </c>
      <c r="J290">
        <v>45</v>
      </c>
      <c r="K290">
        <v>24</v>
      </c>
      <c r="L290" s="5">
        <f t="shared" si="1"/>
        <v>90.7566666666667</v>
      </c>
      <c r="M290" s="5">
        <f t="shared" si="15"/>
        <v>9.99825603127654</v>
      </c>
      <c r="N290" s="5">
        <f t="shared" si="16"/>
        <v>-0.132047892099054</v>
      </c>
      <c r="O290">
        <v>1.46</v>
      </c>
      <c r="P290">
        <v>1497.001</v>
      </c>
      <c r="Q290" s="5">
        <f t="shared" si="17"/>
        <v>1497.2789521079</v>
      </c>
      <c r="T290" s="19"/>
      <c r="U290" s="19">
        <v>357.6975</v>
      </c>
      <c r="V290" s="19"/>
      <c r="W290" s="19">
        <f t="shared" si="26"/>
        <v>355702.98364923</v>
      </c>
      <c r="X290" s="19">
        <f t="shared" si="27"/>
        <v>3055833.40891274</v>
      </c>
      <c r="Y290" s="19"/>
    </row>
    <row r="291" ht="14.25" customHeight="1" spans="1:25">
      <c r="A291" s="10" t="s">
        <v>315</v>
      </c>
      <c r="B291">
        <v>1.1</v>
      </c>
      <c r="C291">
        <v>1.05</v>
      </c>
      <c r="D291">
        <v>1</v>
      </c>
      <c r="E291">
        <v>81</v>
      </c>
      <c r="F291">
        <v>31</v>
      </c>
      <c r="G291">
        <v>47</v>
      </c>
      <c r="H291" s="5">
        <f t="shared" si="0"/>
        <v>81.5297222222222</v>
      </c>
      <c r="I291">
        <v>89</v>
      </c>
      <c r="J291">
        <v>33</v>
      </c>
      <c r="K291">
        <v>35</v>
      </c>
      <c r="L291" s="5">
        <f t="shared" si="1"/>
        <v>89.5597222222222</v>
      </c>
      <c r="M291" s="5">
        <f t="shared" si="15"/>
        <v>9.99940952744219</v>
      </c>
      <c r="N291" s="5">
        <f t="shared" si="16"/>
        <v>0.0768399435211041</v>
      </c>
      <c r="O291">
        <v>1.46</v>
      </c>
      <c r="P291">
        <v>1497.001</v>
      </c>
      <c r="Q291" s="5">
        <f t="shared" si="17"/>
        <v>1497.48783994352</v>
      </c>
      <c r="T291" s="19"/>
      <c r="U291" s="19">
        <v>358.6975</v>
      </c>
      <c r="V291" s="19"/>
      <c r="W291" s="19">
        <f t="shared" si="26"/>
        <v>355705.748751575</v>
      </c>
      <c r="X291" s="19">
        <f t="shared" si="27"/>
        <v>3055800.05565645</v>
      </c>
      <c r="Y291" s="19"/>
    </row>
    <row r="292" ht="14.25" customHeight="1" spans="1:25">
      <c r="A292" s="10" t="s">
        <v>316</v>
      </c>
      <c r="B292">
        <v>1.19</v>
      </c>
      <c r="C292">
        <v>1.095</v>
      </c>
      <c r="D292">
        <v>1</v>
      </c>
      <c r="E292">
        <v>40</v>
      </c>
      <c r="F292">
        <v>45</v>
      </c>
      <c r="G292">
        <v>24</v>
      </c>
      <c r="H292" s="5">
        <f t="shared" si="0"/>
        <v>40.7566666666667</v>
      </c>
      <c r="I292">
        <v>83</v>
      </c>
      <c r="J292">
        <v>42</v>
      </c>
      <c r="K292">
        <v>58</v>
      </c>
      <c r="L292" s="5">
        <f t="shared" si="1"/>
        <v>83.7161111111111</v>
      </c>
      <c r="M292" s="5">
        <f t="shared" si="15"/>
        <v>18.7723732345111</v>
      </c>
      <c r="N292" s="5">
        <f t="shared" si="16"/>
        <v>2.06714648729152</v>
      </c>
      <c r="O292">
        <v>1.46</v>
      </c>
      <c r="P292">
        <v>1497.001</v>
      </c>
      <c r="Q292" s="5">
        <f t="shared" si="17"/>
        <v>1499.43314648729</v>
      </c>
      <c r="T292" s="19"/>
      <c r="U292" s="19">
        <v>359.6975</v>
      </c>
      <c r="V292" s="19"/>
      <c r="W292" s="19">
        <f t="shared" si="26"/>
        <v>355707.38682128</v>
      </c>
      <c r="X292" s="19">
        <f t="shared" si="27"/>
        <v>3055759.30309863</v>
      </c>
      <c r="Y292" s="19"/>
    </row>
    <row r="293" ht="14.25" customHeight="1" spans="1:25">
      <c r="A293" s="10" t="s">
        <v>317</v>
      </c>
      <c r="B293">
        <v>1.2</v>
      </c>
      <c r="C293">
        <v>1.1</v>
      </c>
      <c r="D293">
        <v>1</v>
      </c>
      <c r="E293">
        <v>35</v>
      </c>
      <c r="F293">
        <v>49</v>
      </c>
      <c r="G293">
        <v>29</v>
      </c>
      <c r="H293" s="5">
        <f t="shared" si="0"/>
        <v>35.8247222222222</v>
      </c>
      <c r="I293">
        <v>84</v>
      </c>
      <c r="J293">
        <v>24</v>
      </c>
      <c r="K293">
        <v>19</v>
      </c>
      <c r="L293" s="5">
        <f t="shared" si="1"/>
        <v>84.4052777777778</v>
      </c>
      <c r="M293" s="5">
        <f t="shared" si="15"/>
        <v>19.8099092234089</v>
      </c>
      <c r="N293" s="5">
        <f t="shared" si="16"/>
        <v>1.94053627342449</v>
      </c>
      <c r="O293">
        <v>1.46</v>
      </c>
      <c r="P293">
        <v>1497.001</v>
      </c>
      <c r="Q293" s="5">
        <f t="shared" si="17"/>
        <v>1499.30153627342</v>
      </c>
      <c r="T293" s="19"/>
      <c r="U293" s="19">
        <v>360.6975</v>
      </c>
      <c r="V293" s="19"/>
      <c r="W293" s="19">
        <f t="shared" si="26"/>
        <v>355708.038107659</v>
      </c>
      <c r="X293" s="19">
        <f t="shared" si="27"/>
        <v>3055754.36906767</v>
      </c>
      <c r="Y293" s="19"/>
    </row>
    <row r="294" ht="14.25" customHeight="1" spans="1:25">
      <c r="A294" s="10" t="s">
        <v>318</v>
      </c>
      <c r="B294">
        <v>1.364</v>
      </c>
      <c r="C294">
        <v>1.182</v>
      </c>
      <c r="D294">
        <v>1</v>
      </c>
      <c r="E294">
        <v>14</v>
      </c>
      <c r="F294">
        <v>32</v>
      </c>
      <c r="G294">
        <v>42</v>
      </c>
      <c r="H294" s="5">
        <f t="shared" si="0"/>
        <v>14.545</v>
      </c>
      <c r="I294">
        <v>82</v>
      </c>
      <c r="J294">
        <v>6</v>
      </c>
      <c r="K294">
        <v>32</v>
      </c>
      <c r="L294" s="5">
        <f t="shared" si="1"/>
        <v>82.1088888888889</v>
      </c>
      <c r="M294" s="5">
        <f t="shared" si="15"/>
        <v>35.7139042356541</v>
      </c>
      <c r="N294" s="5">
        <f t="shared" si="16"/>
        <v>4.95006650706219</v>
      </c>
      <c r="O294">
        <v>1.46</v>
      </c>
      <c r="P294">
        <v>1497.001</v>
      </c>
      <c r="Q294" s="5">
        <f t="shared" si="17"/>
        <v>1502.22906650706</v>
      </c>
      <c r="T294" s="19"/>
      <c r="U294" s="19">
        <v>361.6975</v>
      </c>
      <c r="V294" s="19"/>
      <c r="W294" s="19">
        <f t="shared" si="26"/>
        <v>355708.032861166</v>
      </c>
      <c r="X294" s="19">
        <f t="shared" si="27"/>
        <v>3055733.08561698</v>
      </c>
      <c r="Y294" s="19"/>
    </row>
    <row r="295" ht="14.25" customHeight="1" spans="1:25">
      <c r="A295" s="10" t="s">
        <v>319</v>
      </c>
      <c r="B295">
        <v>1.463</v>
      </c>
      <c r="C295">
        <v>1.233</v>
      </c>
      <c r="D295">
        <v>1</v>
      </c>
      <c r="E295">
        <v>14</v>
      </c>
      <c r="F295">
        <v>7</v>
      </c>
      <c r="G295">
        <v>16</v>
      </c>
      <c r="H295" s="5">
        <f t="shared" si="0"/>
        <v>14.1211111111111</v>
      </c>
      <c r="I295">
        <v>81</v>
      </c>
      <c r="J295">
        <v>28</v>
      </c>
      <c r="K295">
        <v>54</v>
      </c>
      <c r="L295" s="5">
        <f t="shared" si="1"/>
        <v>81.4816666666667</v>
      </c>
      <c r="M295" s="5">
        <f t="shared" si="15"/>
        <v>45.2841190993051</v>
      </c>
      <c r="N295" s="5">
        <f t="shared" si="16"/>
        <v>6.78257117159704</v>
      </c>
      <c r="O295">
        <v>1.46</v>
      </c>
      <c r="P295">
        <v>1497.001</v>
      </c>
      <c r="Q295" s="5">
        <f t="shared" si="17"/>
        <v>1504.0105711716</v>
      </c>
      <c r="T295" s="19"/>
      <c r="U295" s="19">
        <v>362.6975</v>
      </c>
      <c r="V295" s="19"/>
      <c r="W295" s="19">
        <f t="shared" si="26"/>
        <v>355708.26657997</v>
      </c>
      <c r="X295" s="19">
        <f t="shared" si="27"/>
        <v>3055732.65246392</v>
      </c>
      <c r="Y295" s="19"/>
    </row>
    <row r="296" ht="14.25" customHeight="1" spans="1:25">
      <c r="A296" s="10" t="s">
        <v>320</v>
      </c>
      <c r="B296">
        <v>1.47</v>
      </c>
      <c r="C296">
        <v>1.235</v>
      </c>
      <c r="D296">
        <v>1</v>
      </c>
      <c r="E296">
        <v>11</v>
      </c>
      <c r="F296">
        <v>7</v>
      </c>
      <c r="G296">
        <v>24</v>
      </c>
      <c r="H296" s="5">
        <f t="shared" si="0"/>
        <v>11.1233333333333</v>
      </c>
      <c r="I296">
        <v>81</v>
      </c>
      <c r="J296">
        <v>19</v>
      </c>
      <c r="K296">
        <v>33</v>
      </c>
      <c r="L296" s="5">
        <f t="shared" si="1"/>
        <v>81.3258333333333</v>
      </c>
      <c r="M296" s="5">
        <f t="shared" si="15"/>
        <v>45.9309756369006</v>
      </c>
      <c r="N296" s="5">
        <f t="shared" si="16"/>
        <v>7.00723426016085</v>
      </c>
      <c r="O296">
        <v>1.46</v>
      </c>
      <c r="P296">
        <v>1497.001</v>
      </c>
      <c r="Q296" s="5">
        <f t="shared" si="17"/>
        <v>1504.23323426016</v>
      </c>
      <c r="T296" s="19"/>
      <c r="U296" s="19">
        <v>363.6975</v>
      </c>
      <c r="V296" s="19"/>
      <c r="W296" s="19">
        <f t="shared" si="26"/>
        <v>355708.319330049</v>
      </c>
      <c r="X296" s="19">
        <f t="shared" si="27"/>
        <v>3055729.64717937</v>
      </c>
      <c r="Y296" s="19"/>
    </row>
    <row r="297" ht="14.25" customHeight="1" spans="1:25">
      <c r="A297" s="10" t="s">
        <v>321</v>
      </c>
      <c r="B297">
        <v>1.98</v>
      </c>
      <c r="C297">
        <v>1.742</v>
      </c>
      <c r="D297">
        <v>1.5</v>
      </c>
      <c r="E297">
        <v>6</v>
      </c>
      <c r="F297">
        <v>35</v>
      </c>
      <c r="G297">
        <v>0</v>
      </c>
      <c r="H297" s="5">
        <f t="shared" si="0"/>
        <v>6.58333333333333</v>
      </c>
      <c r="I297">
        <v>80</v>
      </c>
      <c r="J297">
        <v>43</v>
      </c>
      <c r="K297">
        <v>23</v>
      </c>
      <c r="L297" s="5">
        <f t="shared" si="1"/>
        <v>80.7230555555556</v>
      </c>
      <c r="M297" s="5">
        <f t="shared" si="15"/>
        <v>46.7525951650064</v>
      </c>
      <c r="N297" s="5">
        <f t="shared" si="16"/>
        <v>7.63671482100301</v>
      </c>
      <c r="O297">
        <v>1.46</v>
      </c>
      <c r="P297">
        <v>1497.001</v>
      </c>
      <c r="Q297" s="5">
        <f t="shared" si="17"/>
        <v>1504.355714821</v>
      </c>
      <c r="T297" s="19"/>
      <c r="U297" s="19">
        <v>364.6975</v>
      </c>
      <c r="V297" s="19"/>
      <c r="W297" s="19">
        <f t="shared" si="26"/>
        <v>355708.141142234</v>
      </c>
      <c r="X297" s="19">
        <f t="shared" si="27"/>
        <v>3055725.10821966</v>
      </c>
      <c r="Y297" s="19"/>
    </row>
    <row r="298" ht="14.25" customHeight="1" spans="1:25">
      <c r="A298" s="10" t="s">
        <v>322</v>
      </c>
      <c r="B298">
        <v>2.17</v>
      </c>
      <c r="C298">
        <v>1.98</v>
      </c>
      <c r="D298">
        <v>1.8</v>
      </c>
      <c r="E298">
        <v>5</v>
      </c>
      <c r="F298">
        <v>11</v>
      </c>
      <c r="G298">
        <v>50</v>
      </c>
      <c r="H298" s="5">
        <f t="shared" si="0"/>
        <v>5.19722222222222</v>
      </c>
      <c r="I298">
        <v>80</v>
      </c>
      <c r="J298">
        <v>31</v>
      </c>
      <c r="K298">
        <v>39</v>
      </c>
      <c r="L298" s="5">
        <f t="shared" si="1"/>
        <v>80.5275</v>
      </c>
      <c r="M298" s="5">
        <f t="shared" si="15"/>
        <v>35.9978672638695</v>
      </c>
      <c r="N298" s="5">
        <f t="shared" si="16"/>
        <v>6.00621688053347</v>
      </c>
      <c r="O298">
        <v>1.46</v>
      </c>
      <c r="P298">
        <v>1497.001</v>
      </c>
      <c r="Q298" s="5">
        <f t="shared" si="17"/>
        <v>1502.48721688053</v>
      </c>
      <c r="T298" s="19"/>
      <c r="U298" s="19">
        <v>365.6975</v>
      </c>
      <c r="V298" s="19"/>
      <c r="W298" s="19">
        <f t="shared" si="26"/>
        <v>355708.117961164</v>
      </c>
      <c r="X298" s="19">
        <f t="shared" si="27"/>
        <v>3055723.71854744</v>
      </c>
      <c r="Y298" s="19"/>
    </row>
    <row r="299" ht="14.25" customHeight="1" spans="1:25">
      <c r="A299" s="10" t="s">
        <v>323</v>
      </c>
      <c r="B299">
        <v>1.065</v>
      </c>
      <c r="C299">
        <v>0.882</v>
      </c>
      <c r="D299">
        <v>0.7</v>
      </c>
      <c r="E299">
        <v>10</v>
      </c>
      <c r="F299">
        <v>58</v>
      </c>
      <c r="G299">
        <v>22</v>
      </c>
      <c r="H299" s="5">
        <f t="shared" si="0"/>
        <v>10.9727777777778</v>
      </c>
      <c r="I299">
        <v>82</v>
      </c>
      <c r="J299">
        <v>10</v>
      </c>
      <c r="K299">
        <v>30</v>
      </c>
      <c r="L299" s="5">
        <f t="shared" si="1"/>
        <v>82.175</v>
      </c>
      <c r="M299" s="5">
        <f t="shared" si="15"/>
        <v>35.8234272996349</v>
      </c>
      <c r="N299" s="5">
        <f t="shared" si="16"/>
        <v>4.92312430723071</v>
      </c>
      <c r="O299">
        <v>1.46</v>
      </c>
      <c r="P299">
        <v>1497.001</v>
      </c>
      <c r="Q299" s="5">
        <f t="shared" si="17"/>
        <v>1502.50212430723</v>
      </c>
      <c r="T299" s="19"/>
      <c r="U299" s="19">
        <v>366.6975</v>
      </c>
      <c r="V299" s="19"/>
      <c r="W299" s="19">
        <f t="shared" si="26"/>
        <v>355708.881726571</v>
      </c>
      <c r="X299" s="19">
        <f t="shared" si="27"/>
        <v>3055729.44489668</v>
      </c>
      <c r="Y299" s="19"/>
    </row>
    <row r="300" ht="14.25" customHeight="1" spans="1:25">
      <c r="A300" s="10" t="s">
        <v>324</v>
      </c>
      <c r="B300">
        <v>1.225</v>
      </c>
      <c r="C300">
        <v>1.112</v>
      </c>
      <c r="D300">
        <v>1</v>
      </c>
      <c r="E300">
        <v>7</v>
      </c>
      <c r="F300">
        <v>53</v>
      </c>
      <c r="G300">
        <v>42</v>
      </c>
      <c r="H300" s="5">
        <f t="shared" si="0"/>
        <v>7.895</v>
      </c>
      <c r="I300">
        <v>82</v>
      </c>
      <c r="J300">
        <v>25</v>
      </c>
      <c r="K300">
        <v>27</v>
      </c>
      <c r="L300" s="5">
        <f t="shared" si="1"/>
        <v>82.4241666666667</v>
      </c>
      <c r="M300" s="5">
        <f t="shared" si="15"/>
        <v>22.1089199347236</v>
      </c>
      <c r="N300" s="5">
        <f t="shared" si="16"/>
        <v>2.94046898491781</v>
      </c>
      <c r="O300">
        <v>1.46</v>
      </c>
      <c r="P300">
        <v>1497.001</v>
      </c>
      <c r="Q300" s="5">
        <f t="shared" si="17"/>
        <v>1500.28946898492</v>
      </c>
      <c r="T300" s="19"/>
      <c r="U300" s="19">
        <v>367.6975</v>
      </c>
      <c r="V300" s="19"/>
      <c r="W300" s="19">
        <f t="shared" si="26"/>
        <v>355708.659479561</v>
      </c>
      <c r="X300" s="19">
        <f t="shared" si="27"/>
        <v>3055726.37085851</v>
      </c>
      <c r="Y300" s="19"/>
    </row>
    <row r="301" ht="14.25" customHeight="1" spans="1:25">
      <c r="A301" s="10" t="s">
        <v>325</v>
      </c>
      <c r="B301">
        <v>1.228</v>
      </c>
      <c r="C301">
        <v>1.112</v>
      </c>
      <c r="D301">
        <v>1</v>
      </c>
      <c r="E301">
        <v>16</v>
      </c>
      <c r="F301">
        <v>43</v>
      </c>
      <c r="G301">
        <v>26</v>
      </c>
      <c r="H301" s="5">
        <f t="shared" si="0"/>
        <v>16.7238888888889</v>
      </c>
      <c r="I301">
        <v>82</v>
      </c>
      <c r="J301">
        <v>22</v>
      </c>
      <c r="K301">
        <v>11</v>
      </c>
      <c r="L301" s="5">
        <f t="shared" si="1"/>
        <v>82.3697222222222</v>
      </c>
      <c r="M301" s="5">
        <f t="shared" si="15"/>
        <v>22.3980228834627</v>
      </c>
      <c r="N301" s="5">
        <f t="shared" si="16"/>
        <v>3.00058205267437</v>
      </c>
      <c r="O301">
        <v>1.46</v>
      </c>
      <c r="P301">
        <v>1497.001</v>
      </c>
      <c r="Q301" s="5">
        <f t="shared" si="17"/>
        <v>1500.34958205267</v>
      </c>
      <c r="T301" s="19"/>
      <c r="U301" s="19">
        <v>368.6975</v>
      </c>
      <c r="V301" s="19"/>
      <c r="W301" s="19">
        <f t="shared" si="26"/>
        <v>355710.130947841</v>
      </c>
      <c r="X301" s="19">
        <f t="shared" si="27"/>
        <v>3055735.07857229</v>
      </c>
      <c r="Y301" s="19"/>
    </row>
    <row r="302" ht="14.25" customHeight="1" spans="1:25">
      <c r="A302" s="10" t="s">
        <v>326</v>
      </c>
      <c r="B302">
        <v>1.038</v>
      </c>
      <c r="C302">
        <v>1.018</v>
      </c>
      <c r="D302">
        <v>1</v>
      </c>
      <c r="E302">
        <v>143</v>
      </c>
      <c r="F302">
        <v>49</v>
      </c>
      <c r="G302">
        <v>45</v>
      </c>
      <c r="H302" s="5">
        <f t="shared" si="0"/>
        <v>143.829166666667</v>
      </c>
      <c r="I302">
        <v>103</v>
      </c>
      <c r="J302">
        <v>20</v>
      </c>
      <c r="K302">
        <v>3</v>
      </c>
      <c r="L302" s="5">
        <f t="shared" si="1"/>
        <v>103.334166666667</v>
      </c>
      <c r="M302" s="5">
        <f t="shared" si="15"/>
        <v>3.59787721132212</v>
      </c>
      <c r="N302" s="5">
        <f t="shared" si="16"/>
        <v>-0.852767831987714</v>
      </c>
      <c r="O302">
        <v>1.46</v>
      </c>
      <c r="P302">
        <v>1497.001</v>
      </c>
      <c r="Q302" s="5">
        <f t="shared" si="17"/>
        <v>1496.59023216801</v>
      </c>
      <c r="T302" s="19"/>
      <c r="U302" s="19">
        <v>369.6975</v>
      </c>
      <c r="V302" s="19"/>
      <c r="W302" s="19">
        <f t="shared" si="26"/>
        <v>355731.829501141</v>
      </c>
      <c r="X302" s="19">
        <f t="shared" si="27"/>
        <v>3055860.32096578</v>
      </c>
      <c r="Y302" s="19"/>
    </row>
    <row r="303" ht="14.25" customHeight="1" spans="1:25">
      <c r="A303" s="10" t="s">
        <v>327</v>
      </c>
      <c r="B303">
        <v>1.07</v>
      </c>
      <c r="C303">
        <v>1.035</v>
      </c>
      <c r="D303">
        <v>1</v>
      </c>
      <c r="E303">
        <v>119</v>
      </c>
      <c r="F303">
        <v>57</v>
      </c>
      <c r="G303">
        <v>2</v>
      </c>
      <c r="H303" s="5">
        <f t="shared" si="0"/>
        <v>119.950555555556</v>
      </c>
      <c r="I303">
        <v>96</v>
      </c>
      <c r="J303">
        <v>58</v>
      </c>
      <c r="K303">
        <v>37</v>
      </c>
      <c r="L303" s="5">
        <f t="shared" si="1"/>
        <v>96.9769444444444</v>
      </c>
      <c r="M303" s="5">
        <f t="shared" si="15"/>
        <v>6.89671537983675</v>
      </c>
      <c r="N303" s="5">
        <f t="shared" si="16"/>
        <v>-0.843993263231718</v>
      </c>
      <c r="O303">
        <v>1.46</v>
      </c>
      <c r="P303">
        <v>1497.001</v>
      </c>
      <c r="Q303" s="5">
        <f t="shared" si="17"/>
        <v>1496.58200673677</v>
      </c>
      <c r="T303" s="19"/>
      <c r="U303" s="19">
        <v>370.6975</v>
      </c>
      <c r="V303" s="19"/>
      <c r="W303" s="19">
        <f t="shared" si="26"/>
        <v>355729.867670913</v>
      </c>
      <c r="X303" s="19">
        <f t="shared" si="27"/>
        <v>3055836.41292246</v>
      </c>
      <c r="Y303" s="19"/>
    </row>
    <row r="304" ht="14.25" customHeight="1" spans="1:25">
      <c r="A304" s="10" t="s">
        <v>328</v>
      </c>
      <c r="B304">
        <v>1.89</v>
      </c>
      <c r="C304">
        <v>1.795</v>
      </c>
      <c r="D304">
        <v>1.7</v>
      </c>
      <c r="E304">
        <v>162</v>
      </c>
      <c r="F304">
        <v>1</v>
      </c>
      <c r="G304">
        <v>9</v>
      </c>
      <c r="H304" s="5">
        <f t="shared" si="0"/>
        <v>162.019166666667</v>
      </c>
      <c r="I304">
        <v>95</v>
      </c>
      <c r="J304">
        <v>27</v>
      </c>
      <c r="K304">
        <v>47</v>
      </c>
      <c r="L304" s="5">
        <f t="shared" si="1"/>
        <v>95.4630555555556</v>
      </c>
      <c r="M304" s="5">
        <f t="shared" si="15"/>
        <v>18.8277881347418</v>
      </c>
      <c r="N304" s="5">
        <f t="shared" si="16"/>
        <v>-1.80065780018585</v>
      </c>
      <c r="O304">
        <v>1.46</v>
      </c>
      <c r="P304">
        <v>1497.001</v>
      </c>
      <c r="Q304" s="5">
        <f t="shared" si="17"/>
        <v>1494.86534219981</v>
      </c>
      <c r="T304" s="19"/>
      <c r="U304" s="19">
        <v>371.6975</v>
      </c>
      <c r="V304" s="19"/>
      <c r="W304" s="19">
        <f t="shared" si="26"/>
        <v>355740.45050617</v>
      </c>
      <c r="X304" s="19">
        <f t="shared" si="27"/>
        <v>3055877.20129717</v>
      </c>
      <c r="Y304" s="19"/>
    </row>
    <row r="305" ht="14.25" customHeight="1" spans="1:25">
      <c r="A305" s="10" t="s">
        <v>329</v>
      </c>
      <c r="B305">
        <v>1.83</v>
      </c>
      <c r="C305">
        <v>1.715</v>
      </c>
      <c r="D305">
        <v>1.6</v>
      </c>
      <c r="E305">
        <v>163</v>
      </c>
      <c r="F305">
        <v>34</v>
      </c>
      <c r="G305">
        <v>25</v>
      </c>
      <c r="H305" s="5">
        <f t="shared" si="0"/>
        <v>163.573611111111</v>
      </c>
      <c r="I305">
        <v>95</v>
      </c>
      <c r="J305">
        <v>0</v>
      </c>
      <c r="K305">
        <v>15</v>
      </c>
      <c r="L305" s="5">
        <f t="shared" si="1"/>
        <v>95.0041666666667</v>
      </c>
      <c r="M305" s="5">
        <f>100*(B305-C306)*SIN(RADIANS(L305))^2</f>
        <v>-10.5193471784093</v>
      </c>
      <c r="N305" s="5">
        <f>100*(B305-C306)*SIN(RADIANS(L305))*COS(RADIANS(L305))</f>
        <v>0.92109447465003</v>
      </c>
      <c r="O305">
        <v>1.46</v>
      </c>
      <c r="P305">
        <v>1497.001</v>
      </c>
      <c r="Q305" s="5">
        <f t="shared" si="17"/>
        <v>1497.66709447465</v>
      </c>
      <c r="T305" s="19"/>
      <c r="U305" s="19">
        <v>372.6975</v>
      </c>
      <c r="V305" s="19"/>
      <c r="W305" s="19">
        <f t="shared" si="26"/>
        <v>355743.556075007</v>
      </c>
      <c r="X305" s="19">
        <f t="shared" si="27"/>
        <v>3055878.12027703</v>
      </c>
      <c r="Y305" s="19"/>
    </row>
    <row r="306" ht="14.25" customHeight="1" spans="1:25">
      <c r="A306" s="10" t="s">
        <v>330</v>
      </c>
      <c r="B306">
        <v>2.074</v>
      </c>
      <c r="C306">
        <v>1.936</v>
      </c>
      <c r="D306">
        <v>1.8</v>
      </c>
      <c r="E306">
        <v>140</v>
      </c>
      <c r="F306">
        <v>51</v>
      </c>
      <c r="G306">
        <v>2</v>
      </c>
      <c r="H306" s="5">
        <f t="shared" si="0"/>
        <v>140.850555555556</v>
      </c>
      <c r="I306">
        <v>93</v>
      </c>
      <c r="J306">
        <v>25</v>
      </c>
      <c r="K306">
        <v>45</v>
      </c>
      <c r="L306" s="5">
        <f t="shared" si="1"/>
        <v>93.4291666666667</v>
      </c>
      <c r="M306" s="5">
        <f t="shared" ref="M306:M683" si="28">100*(B306-D306)*SIN(RADIANS(L306))^2</f>
        <v>27.3019689017972</v>
      </c>
      <c r="N306" s="5">
        <f t="shared" ref="N306:N683" si="29">100*(B306-D306)*SIN(RADIANS(L306))*COS(RADIANS(L306))</f>
        <v>-1.63598349458077</v>
      </c>
      <c r="O306">
        <v>1.46</v>
      </c>
      <c r="P306">
        <v>1497.001</v>
      </c>
      <c r="Q306" s="5">
        <f t="shared" si="17"/>
        <v>1494.88901650542</v>
      </c>
      <c r="T306" s="19"/>
      <c r="U306" s="19">
        <v>373.6975</v>
      </c>
      <c r="V306" s="19"/>
      <c r="W306" s="19">
        <f t="shared" si="26"/>
        <v>355740.954813622</v>
      </c>
      <c r="X306" s="19">
        <f t="shared" si="27"/>
        <v>3055855.39168869</v>
      </c>
      <c r="Y306" s="19"/>
    </row>
    <row r="307" ht="14.25" customHeight="1" spans="1:25">
      <c r="A307" s="10" t="s">
        <v>331</v>
      </c>
      <c r="B307">
        <v>1.552</v>
      </c>
      <c r="C307">
        <v>1.276</v>
      </c>
      <c r="D307">
        <v>1</v>
      </c>
      <c r="E307">
        <v>167</v>
      </c>
      <c r="F307">
        <v>47</v>
      </c>
      <c r="G307">
        <v>0</v>
      </c>
      <c r="H307" s="5">
        <f t="shared" si="0"/>
        <v>167.783333333333</v>
      </c>
      <c r="I307">
        <v>92</v>
      </c>
      <c r="J307">
        <v>45</v>
      </c>
      <c r="K307">
        <v>10</v>
      </c>
      <c r="L307" s="5">
        <f t="shared" si="1"/>
        <v>92.7527777777778</v>
      </c>
      <c r="M307" s="5">
        <f t="shared" si="28"/>
        <v>55.0726784461142</v>
      </c>
      <c r="N307" s="5">
        <f t="shared" si="29"/>
        <v>-2.64800660807547</v>
      </c>
      <c r="O307">
        <v>1.46</v>
      </c>
      <c r="P307">
        <v>1497.001</v>
      </c>
      <c r="Q307" s="5">
        <f t="shared" si="17"/>
        <v>1494.53699339192</v>
      </c>
      <c r="T307" s="19"/>
      <c r="U307" s="19">
        <v>374.6975</v>
      </c>
      <c r="V307" s="19"/>
      <c r="W307" s="19">
        <f t="shared" si="26"/>
        <v>355750.171272602</v>
      </c>
      <c r="X307" s="19">
        <f t="shared" si="27"/>
        <v>3055880.84026534</v>
      </c>
      <c r="Y307" s="19"/>
    </row>
    <row r="308" ht="14.25" customHeight="1" spans="1:25">
      <c r="A308" s="10" t="s">
        <v>332</v>
      </c>
      <c r="B308">
        <v>1.55</v>
      </c>
      <c r="C308">
        <v>1.275</v>
      </c>
      <c r="D308">
        <v>1</v>
      </c>
      <c r="E308">
        <v>170</v>
      </c>
      <c r="F308">
        <v>5</v>
      </c>
      <c r="G308">
        <v>5</v>
      </c>
      <c r="H308" s="5">
        <f t="shared" si="0"/>
        <v>170.084722222222</v>
      </c>
      <c r="I308">
        <v>93</v>
      </c>
      <c r="J308">
        <v>7</v>
      </c>
      <c r="K308">
        <v>47</v>
      </c>
      <c r="L308" s="5">
        <f t="shared" si="1"/>
        <v>93.1297222222222</v>
      </c>
      <c r="M308" s="5">
        <f t="shared" si="28"/>
        <v>54.8360554353279</v>
      </c>
      <c r="N308" s="5">
        <f t="shared" si="29"/>
        <v>-2.9983450829881</v>
      </c>
      <c r="O308">
        <v>1.46</v>
      </c>
      <c r="P308">
        <v>1497.001</v>
      </c>
      <c r="Q308" s="5">
        <f t="shared" si="17"/>
        <v>1494.18765491701</v>
      </c>
      <c r="T308" s="19"/>
      <c r="U308" s="19">
        <v>375.6975</v>
      </c>
      <c r="V308" s="19"/>
      <c r="W308" s="19">
        <f t="shared" si="26"/>
        <v>355753.619857315</v>
      </c>
      <c r="X308" s="19">
        <f t="shared" si="27"/>
        <v>3055882.2881663</v>
      </c>
      <c r="Y308" s="19"/>
    </row>
    <row r="309" ht="14.25" customHeight="1" spans="1:25">
      <c r="A309" s="10" t="s">
        <v>333</v>
      </c>
      <c r="B309">
        <v>1.542</v>
      </c>
      <c r="C309">
        <v>1.265</v>
      </c>
      <c r="D309">
        <v>1</v>
      </c>
      <c r="E309">
        <v>173</v>
      </c>
      <c r="F309">
        <v>48</v>
      </c>
      <c r="G309">
        <v>29</v>
      </c>
      <c r="H309" s="5">
        <f t="shared" si="0"/>
        <v>173.808055555556</v>
      </c>
      <c r="I309">
        <v>93</v>
      </c>
      <c r="J309">
        <v>7</v>
      </c>
      <c r="K309">
        <v>28</v>
      </c>
      <c r="L309" s="5">
        <f t="shared" si="1"/>
        <v>93.1244444444444</v>
      </c>
      <c r="M309" s="5">
        <f t="shared" si="28"/>
        <v>54.0389839744424</v>
      </c>
      <c r="N309" s="5">
        <f t="shared" si="29"/>
        <v>-2.94976989352348</v>
      </c>
      <c r="O309">
        <v>1.46</v>
      </c>
      <c r="P309">
        <v>1497.001</v>
      </c>
      <c r="Q309" s="5">
        <f t="shared" si="17"/>
        <v>1494.24623010648</v>
      </c>
      <c r="T309" s="19"/>
      <c r="U309" s="19">
        <v>376.6975</v>
      </c>
      <c r="V309" s="19"/>
      <c r="W309" s="19">
        <f t="shared" si="26"/>
        <v>355757.540309353</v>
      </c>
      <c r="X309" s="19">
        <f t="shared" si="27"/>
        <v>3055885.02644448</v>
      </c>
      <c r="Y309" s="19"/>
    </row>
    <row r="310" ht="14.25" customHeight="1" spans="1:25">
      <c r="A310" s="10" t="s">
        <v>334</v>
      </c>
      <c r="B310">
        <v>1.202</v>
      </c>
      <c r="C310">
        <v>1.101</v>
      </c>
      <c r="D310">
        <v>1</v>
      </c>
      <c r="E310">
        <v>174</v>
      </c>
      <c r="F310">
        <v>34</v>
      </c>
      <c r="G310">
        <v>20</v>
      </c>
      <c r="H310" s="5">
        <f t="shared" si="0"/>
        <v>174.572222222222</v>
      </c>
      <c r="I310">
        <v>96</v>
      </c>
      <c r="J310">
        <v>47</v>
      </c>
      <c r="K310">
        <v>20</v>
      </c>
      <c r="L310" s="5">
        <f t="shared" si="1"/>
        <v>96.7888888888889</v>
      </c>
      <c r="M310" s="5">
        <f t="shared" si="28"/>
        <v>19.9177264883738</v>
      </c>
      <c r="N310" s="5">
        <f t="shared" si="29"/>
        <v>-2.37112770627888</v>
      </c>
      <c r="O310">
        <v>1.46</v>
      </c>
      <c r="P310">
        <v>1497.001</v>
      </c>
      <c r="Q310" s="5">
        <f t="shared" si="17"/>
        <v>1494.98887229372</v>
      </c>
      <c r="T310" s="19"/>
      <c r="U310" s="19">
        <v>377.6975</v>
      </c>
      <c r="V310" s="19"/>
      <c r="W310" s="19">
        <f t="shared" si="26"/>
        <v>355760.670470602</v>
      </c>
      <c r="X310" s="19">
        <f t="shared" si="27"/>
        <v>3055884.85754747</v>
      </c>
      <c r="Y310" s="19"/>
    </row>
    <row r="311" ht="14.25" customHeight="1" spans="1:25">
      <c r="A311" s="10" t="s">
        <v>335</v>
      </c>
      <c r="B311">
        <v>1.206</v>
      </c>
      <c r="C311">
        <v>1.103</v>
      </c>
      <c r="D311">
        <v>1</v>
      </c>
      <c r="E311">
        <v>163</v>
      </c>
      <c r="F311">
        <v>18</v>
      </c>
      <c r="G311">
        <v>19</v>
      </c>
      <c r="H311" s="5">
        <f t="shared" si="0"/>
        <v>163.305277777778</v>
      </c>
      <c r="I311">
        <v>97</v>
      </c>
      <c r="J311">
        <v>0</v>
      </c>
      <c r="K311">
        <v>10</v>
      </c>
      <c r="L311" s="5">
        <f t="shared" si="1"/>
        <v>97.0027777777778</v>
      </c>
      <c r="M311" s="5">
        <f t="shared" si="28"/>
        <v>20.2938043223501</v>
      </c>
      <c r="N311" s="5">
        <f t="shared" si="29"/>
        <v>-2.49276456300562</v>
      </c>
      <c r="O311">
        <v>1.46</v>
      </c>
      <c r="P311">
        <v>1497.001</v>
      </c>
      <c r="Q311" s="5">
        <f t="shared" si="17"/>
        <v>1494.86523543699</v>
      </c>
      <c r="T311" s="19"/>
      <c r="U311" s="19">
        <v>378.6975</v>
      </c>
      <c r="V311" s="19"/>
      <c r="W311" s="19">
        <f t="shared" si="26"/>
        <v>355759.953044189</v>
      </c>
      <c r="X311" s="19">
        <f t="shared" si="27"/>
        <v>3055873.23372187</v>
      </c>
      <c r="Y311" s="19"/>
    </row>
    <row r="312" ht="14.25" customHeight="1" spans="1:25">
      <c r="A312" s="10" t="s">
        <v>336</v>
      </c>
      <c r="B312">
        <v>1.142</v>
      </c>
      <c r="C312">
        <v>1.071</v>
      </c>
      <c r="D312">
        <v>1</v>
      </c>
      <c r="E312">
        <v>186</v>
      </c>
      <c r="F312">
        <v>4</v>
      </c>
      <c r="G312">
        <v>45</v>
      </c>
      <c r="H312" s="5">
        <f t="shared" si="0"/>
        <v>186.079166666667</v>
      </c>
      <c r="I312">
        <v>98</v>
      </c>
      <c r="J312">
        <v>53</v>
      </c>
      <c r="K312">
        <v>26</v>
      </c>
      <c r="L312" s="5">
        <f t="shared" si="1"/>
        <v>98.8905555555556</v>
      </c>
      <c r="M312" s="5">
        <f t="shared" si="28"/>
        <v>13.8608338561209</v>
      </c>
      <c r="N312" s="5">
        <f t="shared" si="29"/>
        <v>-2.16820791667428</v>
      </c>
      <c r="O312">
        <v>1.46</v>
      </c>
      <c r="P312">
        <v>1497.001</v>
      </c>
      <c r="Q312" s="5">
        <f t="shared" si="17"/>
        <v>1495.22179208333</v>
      </c>
      <c r="T312" s="19"/>
      <c r="U312" s="19">
        <v>379.6975</v>
      </c>
      <c r="V312" s="19"/>
      <c r="W312" s="19">
        <f t="shared" si="26"/>
        <v>355770.320760846</v>
      </c>
      <c r="X312" s="19">
        <f t="shared" si="27"/>
        <v>3055893.73779115</v>
      </c>
      <c r="Y312" s="19"/>
    </row>
    <row r="313" ht="14.25" customHeight="1" spans="1:25">
      <c r="A313" s="10" t="s">
        <v>337</v>
      </c>
      <c r="B313">
        <v>1.222</v>
      </c>
      <c r="C313">
        <v>1.111</v>
      </c>
      <c r="D313">
        <v>1</v>
      </c>
      <c r="E313">
        <v>188</v>
      </c>
      <c r="F313">
        <v>38</v>
      </c>
      <c r="G313">
        <v>27</v>
      </c>
      <c r="H313" s="5">
        <f t="shared" si="0"/>
        <v>188.640833333333</v>
      </c>
      <c r="I313">
        <v>95</v>
      </c>
      <c r="J313">
        <v>41</v>
      </c>
      <c r="K313">
        <v>16</v>
      </c>
      <c r="L313" s="5">
        <f t="shared" si="1"/>
        <v>95.6877777777778</v>
      </c>
      <c r="M313" s="5">
        <f t="shared" si="28"/>
        <v>21.9819450859691</v>
      </c>
      <c r="N313" s="5">
        <f t="shared" si="29"/>
        <v>-2.18935404764821</v>
      </c>
      <c r="O313">
        <v>1.46</v>
      </c>
      <c r="P313">
        <v>1497.001</v>
      </c>
      <c r="Q313" s="5">
        <f t="shared" si="17"/>
        <v>1495.16064595235</v>
      </c>
      <c r="T313" s="19"/>
      <c r="U313" s="19">
        <v>380.6975</v>
      </c>
      <c r="V313" s="19"/>
      <c r="W313" s="19">
        <f t="shared" si="26"/>
        <v>355774.274089534</v>
      </c>
      <c r="X313" s="19">
        <f t="shared" si="27"/>
        <v>3055895.01285074</v>
      </c>
      <c r="Y313" s="19"/>
    </row>
    <row r="314" ht="14.25" customHeight="1" spans="1:25">
      <c r="A314" s="10" t="s">
        <v>338</v>
      </c>
      <c r="B314">
        <v>1.224</v>
      </c>
      <c r="C314">
        <v>1.112</v>
      </c>
      <c r="D314">
        <v>1</v>
      </c>
      <c r="E314">
        <v>210</v>
      </c>
      <c r="F314">
        <v>37</v>
      </c>
      <c r="G314">
        <v>36</v>
      </c>
      <c r="H314" s="5">
        <f t="shared" si="0"/>
        <v>210.626666666667</v>
      </c>
      <c r="I314">
        <v>94</v>
      </c>
      <c r="J314">
        <v>46</v>
      </c>
      <c r="K314">
        <v>44</v>
      </c>
      <c r="L314" s="5">
        <f t="shared" si="1"/>
        <v>94.7788888888889</v>
      </c>
      <c r="M314" s="5">
        <f t="shared" si="28"/>
        <v>22.2445290371248</v>
      </c>
      <c r="N314" s="5">
        <f t="shared" si="29"/>
        <v>-1.85967156995741</v>
      </c>
      <c r="O314">
        <v>1.46</v>
      </c>
      <c r="P314">
        <v>1497.001</v>
      </c>
      <c r="Q314" s="5">
        <f t="shared" si="17"/>
        <v>1495.48932843004</v>
      </c>
      <c r="T314" s="19"/>
      <c r="U314" s="19">
        <v>381.6975</v>
      </c>
      <c r="V314" s="19"/>
      <c r="W314" s="19">
        <f t="shared" si="26"/>
        <v>355785.471988064</v>
      </c>
      <c r="X314" s="19">
        <f t="shared" si="27"/>
        <v>3055914.25049427</v>
      </c>
      <c r="Y314" s="19"/>
    </row>
    <row r="315" ht="14.25" customHeight="1" spans="1:25">
      <c r="A315" s="10" t="s">
        <v>339</v>
      </c>
      <c r="B315">
        <v>1.388</v>
      </c>
      <c r="C315">
        <v>1.194</v>
      </c>
      <c r="D315">
        <v>1</v>
      </c>
      <c r="E315">
        <v>174</v>
      </c>
      <c r="F315">
        <v>52</v>
      </c>
      <c r="G315">
        <v>46</v>
      </c>
      <c r="H315" s="5">
        <f t="shared" si="0"/>
        <v>174.879444444444</v>
      </c>
      <c r="I315">
        <v>93</v>
      </c>
      <c r="J315">
        <v>54</v>
      </c>
      <c r="K315">
        <v>20</v>
      </c>
      <c r="L315" s="5">
        <f t="shared" si="1"/>
        <v>93.9055555555556</v>
      </c>
      <c r="M315" s="5">
        <f t="shared" si="28"/>
        <v>38.6199971608294</v>
      </c>
      <c r="N315" s="5">
        <f t="shared" si="29"/>
        <v>-2.63660940180953</v>
      </c>
      <c r="O315">
        <v>1.46</v>
      </c>
      <c r="P315">
        <v>1497.001</v>
      </c>
      <c r="Q315" s="5">
        <f t="shared" si="17"/>
        <v>1494.63039059819</v>
      </c>
      <c r="T315" s="19"/>
      <c r="U315" s="19">
        <v>382.6975</v>
      </c>
      <c r="V315" s="19"/>
      <c r="W315" s="19">
        <f t="shared" si="26"/>
        <v>355775.081994888</v>
      </c>
      <c r="X315" s="19">
        <f t="shared" si="27"/>
        <v>3055879.88289303</v>
      </c>
      <c r="Y315" s="19"/>
    </row>
    <row r="316" ht="14.25" customHeight="1" spans="1:25">
      <c r="A316" s="10" t="s">
        <v>340</v>
      </c>
      <c r="B316">
        <v>1.38</v>
      </c>
      <c r="C316">
        <v>1.19</v>
      </c>
      <c r="D316">
        <v>1</v>
      </c>
      <c r="E316">
        <v>186</v>
      </c>
      <c r="F316">
        <v>46</v>
      </c>
      <c r="G316">
        <v>0</v>
      </c>
      <c r="H316" s="5">
        <f t="shared" si="0"/>
        <v>186.766666666667</v>
      </c>
      <c r="I316">
        <v>93</v>
      </c>
      <c r="J316">
        <v>17</v>
      </c>
      <c r="K316">
        <v>5</v>
      </c>
      <c r="L316" s="5">
        <f t="shared" si="1"/>
        <v>93.2847222222222</v>
      </c>
      <c r="M316" s="5">
        <f t="shared" si="28"/>
        <v>37.875244475277</v>
      </c>
      <c r="N316" s="5">
        <f t="shared" si="29"/>
        <v>-2.17374009451986</v>
      </c>
      <c r="O316">
        <v>1.46</v>
      </c>
      <c r="P316">
        <v>1497.001</v>
      </c>
      <c r="Q316" s="5">
        <f t="shared" si="17"/>
        <v>1495.09725990548</v>
      </c>
      <c r="T316" s="19"/>
      <c r="U316" s="19">
        <v>383.6975</v>
      </c>
      <c r="V316" s="19"/>
      <c r="W316" s="19">
        <f t="shared" si="26"/>
        <v>355782.66498455</v>
      </c>
      <c r="X316" s="19">
        <f t="shared" si="27"/>
        <v>3055889.56552569</v>
      </c>
      <c r="Y316" s="19"/>
    </row>
    <row r="317" ht="14.25" customHeight="1" spans="1:25">
      <c r="A317" s="10" t="s">
        <v>341</v>
      </c>
      <c r="B317">
        <v>1.386</v>
      </c>
      <c r="C317">
        <v>1.193</v>
      </c>
      <c r="D317">
        <v>1</v>
      </c>
      <c r="E317">
        <v>190</v>
      </c>
      <c r="F317">
        <v>0</v>
      </c>
      <c r="G317">
        <v>0</v>
      </c>
      <c r="H317" s="5">
        <f t="shared" si="0"/>
        <v>190</v>
      </c>
      <c r="I317">
        <v>93</v>
      </c>
      <c r="J317">
        <v>10</v>
      </c>
      <c r="K317">
        <v>49</v>
      </c>
      <c r="L317" s="5">
        <f t="shared" si="1"/>
        <v>93.1802777777778</v>
      </c>
      <c r="M317" s="5">
        <f t="shared" si="28"/>
        <v>38.4811973604581</v>
      </c>
      <c r="N317" s="5">
        <f t="shared" si="29"/>
        <v>-2.13814588350655</v>
      </c>
      <c r="O317">
        <v>1.46</v>
      </c>
      <c r="P317">
        <v>1497.001</v>
      </c>
      <c r="Q317" s="5">
        <f t="shared" si="17"/>
        <v>1495.12985411649</v>
      </c>
      <c r="T317" s="19"/>
      <c r="U317" s="19">
        <v>384.6975</v>
      </c>
      <c r="V317" s="19"/>
      <c r="W317" s="19">
        <f t="shared" si="26"/>
        <v>355786.98921228</v>
      </c>
      <c r="X317" s="19">
        <f t="shared" si="27"/>
        <v>3055891.16701775</v>
      </c>
      <c r="Y317" s="19"/>
    </row>
    <row r="318" ht="14.25" customHeight="1" spans="1:25">
      <c r="A318" s="10" t="s">
        <v>342</v>
      </c>
      <c r="B318">
        <v>1.152</v>
      </c>
      <c r="C318">
        <v>1.076</v>
      </c>
      <c r="D318">
        <v>1</v>
      </c>
      <c r="E318">
        <v>72</v>
      </c>
      <c r="F318">
        <v>42</v>
      </c>
      <c r="G318">
        <v>2</v>
      </c>
      <c r="H318" s="5">
        <f t="shared" si="0"/>
        <v>72.7005555555556</v>
      </c>
      <c r="I318">
        <v>89</v>
      </c>
      <c r="J318">
        <v>35</v>
      </c>
      <c r="K318">
        <v>3</v>
      </c>
      <c r="L318" s="5">
        <f t="shared" si="1"/>
        <v>89.5841666666667</v>
      </c>
      <c r="M318" s="5">
        <f t="shared" si="28"/>
        <v>15.1991993747237</v>
      </c>
      <c r="N318" s="5">
        <f t="shared" si="29"/>
        <v>0.110312570449392</v>
      </c>
      <c r="O318">
        <v>1.52</v>
      </c>
      <c r="P318">
        <v>1497.001</v>
      </c>
      <c r="Q318" s="5">
        <f t="shared" si="17"/>
        <v>1497.55531257045</v>
      </c>
      <c r="T318" s="19"/>
      <c r="U318" s="19">
        <v>385.6975</v>
      </c>
      <c r="V318" s="19"/>
      <c r="W318" s="19">
        <f t="shared" si="26"/>
        <v>355739.126398038</v>
      </c>
      <c r="X318" s="19">
        <f t="shared" si="27"/>
        <v>3055784.05717559</v>
      </c>
      <c r="Y318" s="19"/>
    </row>
    <row r="319" ht="14.25" customHeight="1" spans="1:25">
      <c r="A319" s="10" t="s">
        <v>343</v>
      </c>
      <c r="B319">
        <v>1.233</v>
      </c>
      <c r="C319">
        <v>1.116</v>
      </c>
      <c r="D319">
        <v>1</v>
      </c>
      <c r="E319">
        <v>28</v>
      </c>
      <c r="F319">
        <v>53</v>
      </c>
      <c r="G319">
        <v>17</v>
      </c>
      <c r="H319" s="5">
        <f t="shared" si="0"/>
        <v>28.8880555555556</v>
      </c>
      <c r="I319">
        <v>84</v>
      </c>
      <c r="J319">
        <v>39</v>
      </c>
      <c r="K319">
        <v>41</v>
      </c>
      <c r="L319" s="5">
        <f t="shared" si="1"/>
        <v>84.6613888888889</v>
      </c>
      <c r="M319" s="5">
        <f t="shared" si="28"/>
        <v>23.0982980761341</v>
      </c>
      <c r="N319" s="5">
        <f t="shared" si="29"/>
        <v>2.15846500087101</v>
      </c>
      <c r="O319">
        <v>1.52</v>
      </c>
      <c r="P319">
        <v>1497.001</v>
      </c>
      <c r="Q319" s="5">
        <f t="shared" si="17"/>
        <v>1499.56346500087</v>
      </c>
      <c r="T319" s="19"/>
      <c r="U319" s="19">
        <v>386.6975</v>
      </c>
      <c r="V319" s="19"/>
      <c r="W319" s="19">
        <f t="shared" si="26"/>
        <v>355720.580826129</v>
      </c>
      <c r="X319" s="19">
        <f t="shared" si="27"/>
        <v>3055744.35532862</v>
      </c>
      <c r="Y319" s="19"/>
    </row>
    <row r="320" ht="14.25" customHeight="1" spans="1:25">
      <c r="A320" s="10" t="s">
        <v>344</v>
      </c>
      <c r="B320">
        <v>1.468</v>
      </c>
      <c r="C320">
        <v>1.333</v>
      </c>
      <c r="D320">
        <v>1.2</v>
      </c>
      <c r="E320">
        <v>27</v>
      </c>
      <c r="F320">
        <v>22</v>
      </c>
      <c r="G320">
        <v>8</v>
      </c>
      <c r="H320" s="5">
        <f t="shared" si="0"/>
        <v>27.3688888888889</v>
      </c>
      <c r="I320">
        <v>85</v>
      </c>
      <c r="J320">
        <v>4</v>
      </c>
      <c r="K320">
        <v>5</v>
      </c>
      <c r="L320" s="5">
        <f t="shared" si="1"/>
        <v>85.0680555555555</v>
      </c>
      <c r="M320" s="5">
        <f t="shared" si="28"/>
        <v>26.6019143679649</v>
      </c>
      <c r="N320" s="5">
        <f t="shared" si="29"/>
        <v>2.29552979090255</v>
      </c>
      <c r="O320">
        <v>1.52</v>
      </c>
      <c r="P320">
        <v>1497.001</v>
      </c>
      <c r="Q320" s="5">
        <f t="shared" si="17"/>
        <v>1499.4835297909</v>
      </c>
      <c r="T320" s="19"/>
      <c r="U320" s="19">
        <v>387.6975</v>
      </c>
      <c r="V320" s="19"/>
      <c r="W320" s="19">
        <f t="shared" si="26"/>
        <v>355720.323152979</v>
      </c>
      <c r="X320" s="19">
        <f t="shared" si="27"/>
        <v>3055742.77979484</v>
      </c>
      <c r="Y320" s="19"/>
    </row>
    <row r="321" ht="14.25" customHeight="1" spans="1:25">
      <c r="A321" s="10" t="s">
        <v>345</v>
      </c>
      <c r="B321">
        <v>2.254</v>
      </c>
      <c r="C321">
        <v>2.227</v>
      </c>
      <c r="D321">
        <v>2</v>
      </c>
      <c r="E321">
        <v>1</v>
      </c>
      <c r="F321">
        <v>0</v>
      </c>
      <c r="G321">
        <v>35</v>
      </c>
      <c r="H321" s="5">
        <f t="shared" si="0"/>
        <v>1.00972222222222</v>
      </c>
      <c r="I321">
        <v>81</v>
      </c>
      <c r="J321">
        <v>48</v>
      </c>
      <c r="K321">
        <v>8</v>
      </c>
      <c r="L321" s="5">
        <f t="shared" si="1"/>
        <v>81.8022222222222</v>
      </c>
      <c r="M321" s="5">
        <f t="shared" si="28"/>
        <v>24.8835655862623</v>
      </c>
      <c r="N321" s="5">
        <f t="shared" si="29"/>
        <v>3.58479143120562</v>
      </c>
      <c r="O321">
        <v>1.52</v>
      </c>
      <c r="P321">
        <v>1497.001</v>
      </c>
      <c r="Q321" s="5">
        <f t="shared" si="17"/>
        <v>1499.87879143121</v>
      </c>
      <c r="T321" s="19"/>
      <c r="U321" s="19">
        <v>388.6975</v>
      </c>
      <c r="V321" s="19"/>
      <c r="W321" s="19">
        <f t="shared" ref="W321:W352" si="30">$S$288+(H321*SIN(U321*3.141592654/180))</f>
        <v>355708.086853693</v>
      </c>
      <c r="X321" s="19">
        <f t="shared" ref="X321:X352" si="31">$T$213+(H321*COS(U321*3.141592654/180))</f>
        <v>3055719.43269513</v>
      </c>
      <c r="Y321" s="19"/>
    </row>
    <row r="322" ht="14.25" customHeight="1" spans="1:25">
      <c r="A322" s="10" t="s">
        <v>346</v>
      </c>
      <c r="B322">
        <v>1.19</v>
      </c>
      <c r="C322">
        <v>1.095</v>
      </c>
      <c r="D322">
        <v>1</v>
      </c>
      <c r="E322">
        <v>357</v>
      </c>
      <c r="F322">
        <v>27</v>
      </c>
      <c r="G322">
        <v>51</v>
      </c>
      <c r="H322" s="5">
        <f t="shared" si="0"/>
        <v>357.464166666667</v>
      </c>
      <c r="I322">
        <v>82</v>
      </c>
      <c r="J322">
        <v>59</v>
      </c>
      <c r="K322">
        <v>0</v>
      </c>
      <c r="L322" s="5">
        <f t="shared" si="1"/>
        <v>82.9833333333333</v>
      </c>
      <c r="M322" s="5">
        <f t="shared" si="28"/>
        <v>18.7164707674399</v>
      </c>
      <c r="N322" s="5">
        <f t="shared" si="29"/>
        <v>2.30362032308393</v>
      </c>
      <c r="O322">
        <v>1.52</v>
      </c>
      <c r="P322">
        <v>1497.001</v>
      </c>
      <c r="Q322" s="5">
        <f t="shared" si="17"/>
        <v>1499.72962032308</v>
      </c>
      <c r="T322" s="19"/>
      <c r="U322" s="19">
        <v>389.6975</v>
      </c>
      <c r="V322" s="19"/>
      <c r="W322" s="19">
        <f t="shared" si="30"/>
        <v>355884.697171815</v>
      </c>
      <c r="X322" s="19">
        <f t="shared" si="31"/>
        <v>3056029.05936782</v>
      </c>
      <c r="Y322" s="19"/>
    </row>
    <row r="323" ht="14.25" customHeight="1" spans="1:25">
      <c r="A323" s="10" t="s">
        <v>347</v>
      </c>
      <c r="B323">
        <v>1.05</v>
      </c>
      <c r="C323">
        <v>1.025</v>
      </c>
      <c r="D323">
        <v>1</v>
      </c>
      <c r="E323">
        <v>355</v>
      </c>
      <c r="F323">
        <v>49</v>
      </c>
      <c r="G323">
        <v>10</v>
      </c>
      <c r="H323" s="5">
        <f t="shared" si="0"/>
        <v>355.819444444444</v>
      </c>
      <c r="I323">
        <v>75</v>
      </c>
      <c r="J323">
        <v>34</v>
      </c>
      <c r="K323">
        <v>9</v>
      </c>
      <c r="L323" s="5">
        <f t="shared" si="1"/>
        <v>75.5691666666667</v>
      </c>
      <c r="M323" s="5">
        <f t="shared" si="28"/>
        <v>4.68946916919103</v>
      </c>
      <c r="N323" s="5">
        <f t="shared" si="29"/>
        <v>1.20674137956811</v>
      </c>
      <c r="O323">
        <v>1.52</v>
      </c>
      <c r="P323">
        <v>1497.001</v>
      </c>
      <c r="Q323" s="5">
        <f t="shared" si="17"/>
        <v>1498.70274137957</v>
      </c>
      <c r="T323" s="19"/>
      <c r="U323" s="19">
        <v>390.6975</v>
      </c>
      <c r="V323" s="19"/>
      <c r="W323" s="19">
        <f t="shared" si="30"/>
        <v>355889.249747835</v>
      </c>
      <c r="X323" s="19">
        <f t="shared" si="31"/>
        <v>3056024.50708359</v>
      </c>
      <c r="Y323" s="19"/>
    </row>
    <row r="324" ht="14.25" customHeight="1" spans="1:25">
      <c r="A324" s="10" t="s">
        <v>348</v>
      </c>
      <c r="B324">
        <v>1.102</v>
      </c>
      <c r="C324">
        <v>1.051</v>
      </c>
      <c r="D324">
        <v>1</v>
      </c>
      <c r="E324">
        <v>321</v>
      </c>
      <c r="F324">
        <v>7</v>
      </c>
      <c r="G324">
        <v>4</v>
      </c>
      <c r="H324" s="5">
        <f t="shared" si="0"/>
        <v>321.117777777778</v>
      </c>
      <c r="I324">
        <v>83</v>
      </c>
      <c r="J324">
        <v>2</v>
      </c>
      <c r="K324">
        <v>17</v>
      </c>
      <c r="L324" s="5">
        <f t="shared" si="1"/>
        <v>83.0380555555556</v>
      </c>
      <c r="M324" s="5">
        <f t="shared" si="28"/>
        <v>10.0501428065746</v>
      </c>
      <c r="N324" s="5">
        <f t="shared" si="29"/>
        <v>1.22722703462629</v>
      </c>
      <c r="O324">
        <v>1.52</v>
      </c>
      <c r="P324">
        <v>1497.001</v>
      </c>
      <c r="Q324" s="5">
        <f t="shared" si="17"/>
        <v>1498.69722703463</v>
      </c>
      <c r="T324" s="19"/>
      <c r="U324" s="19">
        <v>391.6975</v>
      </c>
      <c r="V324" s="19"/>
      <c r="W324" s="19">
        <f t="shared" si="30"/>
        <v>355876.328367901</v>
      </c>
      <c r="X324" s="19">
        <f t="shared" si="31"/>
        <v>3055991.76493495</v>
      </c>
      <c r="Y324" s="19"/>
    </row>
    <row r="325" ht="14.25" customHeight="1" spans="1:25">
      <c r="A325" s="10" t="s">
        <v>349</v>
      </c>
      <c r="B325">
        <v>1.146</v>
      </c>
      <c r="C325">
        <v>1.073</v>
      </c>
      <c r="D325">
        <v>1</v>
      </c>
      <c r="E325">
        <v>337</v>
      </c>
      <c r="F325">
        <v>36</v>
      </c>
      <c r="G325">
        <v>59</v>
      </c>
      <c r="H325" s="5">
        <f t="shared" si="0"/>
        <v>337.616388888889</v>
      </c>
      <c r="I325">
        <v>84</v>
      </c>
      <c r="J325">
        <v>9</v>
      </c>
      <c r="K325">
        <v>10</v>
      </c>
      <c r="L325" s="5">
        <f t="shared" si="1"/>
        <v>84.1527777777778</v>
      </c>
      <c r="M325" s="5">
        <f t="shared" si="28"/>
        <v>14.4484700224557</v>
      </c>
      <c r="N325" s="5">
        <f t="shared" si="29"/>
        <v>1.47965412784613</v>
      </c>
      <c r="O325">
        <v>1.52</v>
      </c>
      <c r="P325">
        <v>1497.001</v>
      </c>
      <c r="Q325" s="5">
        <f t="shared" si="17"/>
        <v>1498.92765412785</v>
      </c>
      <c r="T325" s="19"/>
      <c r="U325" s="19">
        <v>392.6975</v>
      </c>
      <c r="V325" s="19"/>
      <c r="W325" s="19">
        <f t="shared" si="30"/>
        <v>355889.98358967</v>
      </c>
      <c r="X325" s="19">
        <f t="shared" si="31"/>
        <v>3056002.66278942</v>
      </c>
      <c r="Y325" s="19"/>
    </row>
    <row r="326" ht="14.25" customHeight="1" spans="1:25">
      <c r="A326" s="10" t="s">
        <v>350</v>
      </c>
      <c r="B326">
        <v>1.236</v>
      </c>
      <c r="C326">
        <v>1.118</v>
      </c>
      <c r="D326">
        <v>1</v>
      </c>
      <c r="E326">
        <v>357</v>
      </c>
      <c r="F326">
        <v>25</v>
      </c>
      <c r="G326">
        <v>25</v>
      </c>
      <c r="H326" s="5">
        <f t="shared" si="0"/>
        <v>357.423611111111</v>
      </c>
      <c r="I326">
        <v>84</v>
      </c>
      <c r="J326">
        <v>48</v>
      </c>
      <c r="K326">
        <v>27</v>
      </c>
      <c r="L326" s="5">
        <f t="shared" si="1"/>
        <v>84.8075</v>
      </c>
      <c r="M326" s="5">
        <f t="shared" si="28"/>
        <v>23.4067006235155</v>
      </c>
      <c r="N326" s="5">
        <f t="shared" si="29"/>
        <v>2.12708735976785</v>
      </c>
      <c r="O326">
        <v>1.52</v>
      </c>
      <c r="P326">
        <v>1497.001</v>
      </c>
      <c r="Q326" s="5">
        <f t="shared" si="17"/>
        <v>1499.53008735977</v>
      </c>
      <c r="T326" s="19"/>
      <c r="U326" s="19">
        <v>393.6975</v>
      </c>
      <c r="V326" s="19"/>
      <c r="W326" s="19">
        <f t="shared" si="30"/>
        <v>355905.903524162</v>
      </c>
      <c r="X326" s="19">
        <f t="shared" si="31"/>
        <v>3056015.91569925</v>
      </c>
      <c r="Y326" s="19"/>
    </row>
    <row r="327" ht="14.25" customHeight="1" spans="1:25">
      <c r="A327" s="10" t="s">
        <v>351</v>
      </c>
      <c r="B327">
        <v>1.058</v>
      </c>
      <c r="C327">
        <v>1.028</v>
      </c>
      <c r="D327">
        <v>1</v>
      </c>
      <c r="E327">
        <v>192</v>
      </c>
      <c r="F327">
        <v>56</v>
      </c>
      <c r="G327">
        <v>12</v>
      </c>
      <c r="H327" s="5">
        <f t="shared" si="0"/>
        <v>192.936666666667</v>
      </c>
      <c r="I327">
        <v>104</v>
      </c>
      <c r="J327">
        <v>47</v>
      </c>
      <c r="K327">
        <v>51</v>
      </c>
      <c r="L327" s="5">
        <f t="shared" si="1"/>
        <v>104.7975</v>
      </c>
      <c r="M327" s="5">
        <f t="shared" si="28"/>
        <v>5.42166028918602</v>
      </c>
      <c r="N327" s="5">
        <f t="shared" si="29"/>
        <v>-1.43221136217469</v>
      </c>
      <c r="O327">
        <v>1.52</v>
      </c>
      <c r="P327">
        <v>1497.001</v>
      </c>
      <c r="Q327" s="5">
        <f t="shared" si="17"/>
        <v>1496.06078863783</v>
      </c>
      <c r="T327" s="19"/>
      <c r="U327" s="19">
        <v>394.6975</v>
      </c>
      <c r="V327" s="19"/>
      <c r="W327" s="19">
        <f t="shared" si="30"/>
        <v>355817.429972512</v>
      </c>
      <c r="X327" s="19">
        <f t="shared" si="31"/>
        <v>3055877.173523</v>
      </c>
      <c r="Y327" s="19"/>
    </row>
    <row r="328" ht="14.25" customHeight="1" spans="1:25">
      <c r="A328" s="10" t="s">
        <v>352</v>
      </c>
      <c r="B328">
        <v>1.069</v>
      </c>
      <c r="C328">
        <v>1.034</v>
      </c>
      <c r="D328">
        <v>1</v>
      </c>
      <c r="E328">
        <v>269</v>
      </c>
      <c r="F328">
        <v>52</v>
      </c>
      <c r="G328">
        <v>49</v>
      </c>
      <c r="H328" s="5">
        <f t="shared" si="0"/>
        <v>269.880277777778</v>
      </c>
      <c r="I328">
        <v>101</v>
      </c>
      <c r="J328">
        <v>16</v>
      </c>
      <c r="K328">
        <v>18</v>
      </c>
      <c r="L328" s="5">
        <f t="shared" si="1"/>
        <v>101.271666666667</v>
      </c>
      <c r="M328" s="5">
        <f t="shared" si="28"/>
        <v>6.63638495232095</v>
      </c>
      <c r="N328" s="5">
        <f t="shared" si="29"/>
        <v>-1.32266811242374</v>
      </c>
      <c r="O328">
        <v>1.52</v>
      </c>
      <c r="P328">
        <v>1497.001</v>
      </c>
      <c r="Q328" s="5">
        <f t="shared" si="17"/>
        <v>1496.16433188758</v>
      </c>
      <c r="T328" s="19"/>
      <c r="U328" s="19">
        <v>395.6975</v>
      </c>
      <c r="V328" s="19"/>
      <c r="W328" s="19">
        <f t="shared" si="30"/>
        <v>355865.078701372</v>
      </c>
      <c r="X328" s="19">
        <f t="shared" si="31"/>
        <v>3055937.7191991</v>
      </c>
      <c r="Y328" s="19"/>
    </row>
    <row r="329" ht="14.25" customHeight="1" spans="1:25">
      <c r="A329" s="10" t="s">
        <v>353</v>
      </c>
      <c r="B329">
        <v>1.058</v>
      </c>
      <c r="C329">
        <v>1.028</v>
      </c>
      <c r="D329">
        <v>1</v>
      </c>
      <c r="E329">
        <v>294</v>
      </c>
      <c r="F329">
        <v>52</v>
      </c>
      <c r="G329">
        <v>23</v>
      </c>
      <c r="H329" s="5">
        <f t="shared" si="0"/>
        <v>294.873055555556</v>
      </c>
      <c r="I329">
        <v>97</v>
      </c>
      <c r="J329">
        <v>30</v>
      </c>
      <c r="K329">
        <v>47</v>
      </c>
      <c r="L329" s="5">
        <f t="shared" si="1"/>
        <v>97.5130555555556</v>
      </c>
      <c r="M329" s="5">
        <f t="shared" si="28"/>
        <v>5.70084254957574</v>
      </c>
      <c r="N329" s="5">
        <f t="shared" si="29"/>
        <v>-0.751851722406813</v>
      </c>
      <c r="O329">
        <v>1.52</v>
      </c>
      <c r="P329">
        <v>1497.001</v>
      </c>
      <c r="Q329" s="5">
        <f t="shared" si="17"/>
        <v>1496.74114827759</v>
      </c>
      <c r="T329" s="19"/>
      <c r="U329" s="19">
        <v>396.6975</v>
      </c>
      <c r="V329" s="19"/>
      <c r="W329" s="19">
        <f t="shared" si="30"/>
        <v>355883.815237354</v>
      </c>
      <c r="X329" s="19">
        <f t="shared" si="31"/>
        <v>3055954.97672291</v>
      </c>
      <c r="Y329" s="19"/>
    </row>
    <row r="330" ht="14.25" customHeight="1" spans="1:25">
      <c r="A330" s="10" t="s">
        <v>354</v>
      </c>
      <c r="B330">
        <v>1.108</v>
      </c>
      <c r="C330">
        <v>1.054</v>
      </c>
      <c r="D330">
        <v>1</v>
      </c>
      <c r="E330">
        <v>294</v>
      </c>
      <c r="F330">
        <v>19</v>
      </c>
      <c r="G330">
        <v>37</v>
      </c>
      <c r="H330" s="5">
        <f t="shared" si="0"/>
        <v>294.326944444444</v>
      </c>
      <c r="I330">
        <v>91</v>
      </c>
      <c r="J330">
        <v>0</v>
      </c>
      <c r="K330">
        <v>39</v>
      </c>
      <c r="L330" s="5">
        <f t="shared" si="1"/>
        <v>91.0108333333333</v>
      </c>
      <c r="M330" s="5">
        <f t="shared" si="28"/>
        <v>10.7966388140359</v>
      </c>
      <c r="N330" s="5">
        <f t="shared" si="29"/>
        <v>-0.190498059942229</v>
      </c>
      <c r="O330">
        <v>1.52</v>
      </c>
      <c r="P330">
        <v>1497.001</v>
      </c>
      <c r="Q330" s="5">
        <f t="shared" si="17"/>
        <v>1497.27650194006</v>
      </c>
      <c r="T330" s="19"/>
      <c r="U330" s="19">
        <v>397.6975</v>
      </c>
      <c r="V330" s="19"/>
      <c r="W330" s="19">
        <f t="shared" si="30"/>
        <v>355887.580723986</v>
      </c>
      <c r="X330" s="19">
        <f t="shared" si="31"/>
        <v>3055951.43325794</v>
      </c>
      <c r="Y330" s="19"/>
    </row>
    <row r="331" ht="14.25" customHeight="1" spans="1:25">
      <c r="A331" s="10" t="s">
        <v>355</v>
      </c>
      <c r="B331">
        <v>1.1</v>
      </c>
      <c r="C331">
        <v>1.05</v>
      </c>
      <c r="D331">
        <v>1</v>
      </c>
      <c r="E331">
        <v>303</v>
      </c>
      <c r="F331">
        <v>11</v>
      </c>
      <c r="G331">
        <v>42</v>
      </c>
      <c r="H331" s="5">
        <f t="shared" si="0"/>
        <v>303.195</v>
      </c>
      <c r="I331">
        <v>90</v>
      </c>
      <c r="J331">
        <v>42</v>
      </c>
      <c r="K331">
        <v>43</v>
      </c>
      <c r="L331" s="5">
        <f t="shared" si="1"/>
        <v>90.7119444444444</v>
      </c>
      <c r="M331" s="5">
        <f t="shared" si="28"/>
        <v>9.99845608070704</v>
      </c>
      <c r="N331" s="5">
        <f t="shared" si="29"/>
        <v>-0.124244956609602</v>
      </c>
      <c r="O331">
        <v>1.52</v>
      </c>
      <c r="P331">
        <v>1497.001</v>
      </c>
      <c r="Q331" s="5">
        <f t="shared" si="17"/>
        <v>1497.34675504339</v>
      </c>
      <c r="T331" s="19"/>
      <c r="U331" s="19">
        <v>398.6975</v>
      </c>
      <c r="V331" s="19"/>
      <c r="W331" s="19">
        <f t="shared" si="30"/>
        <v>355897.162122614</v>
      </c>
      <c r="X331" s="19">
        <f t="shared" si="31"/>
        <v>3055955.17786853</v>
      </c>
      <c r="Y331" s="19"/>
    </row>
    <row r="332" ht="14.25" customHeight="1" spans="1:25">
      <c r="A332" s="10" t="s">
        <v>356</v>
      </c>
      <c r="B332">
        <v>1.11</v>
      </c>
      <c r="C332">
        <v>1.055</v>
      </c>
      <c r="D332">
        <v>1</v>
      </c>
      <c r="E332">
        <v>303</v>
      </c>
      <c r="F332">
        <v>13</v>
      </c>
      <c r="G332">
        <v>20</v>
      </c>
      <c r="H332" s="5">
        <f t="shared" si="0"/>
        <v>303.222222222222</v>
      </c>
      <c r="I332">
        <v>87</v>
      </c>
      <c r="J332">
        <v>33</v>
      </c>
      <c r="K332">
        <v>2</v>
      </c>
      <c r="L332" s="5">
        <f t="shared" si="1"/>
        <v>87.5505555555555</v>
      </c>
      <c r="M332" s="5">
        <f t="shared" si="28"/>
        <v>10.979908238504</v>
      </c>
      <c r="N332" s="5">
        <f t="shared" si="29"/>
        <v>0.469686807964439</v>
      </c>
      <c r="O332">
        <v>1.52</v>
      </c>
      <c r="P332">
        <v>1497.001</v>
      </c>
      <c r="Q332" s="5">
        <f t="shared" si="17"/>
        <v>1497.93568680796</v>
      </c>
      <c r="T332" s="19"/>
      <c r="U332" s="19">
        <v>399.6975</v>
      </c>
      <c r="V332" s="19"/>
      <c r="W332" s="19">
        <f t="shared" si="30"/>
        <v>355901.280417548</v>
      </c>
      <c r="X332" s="19">
        <f t="shared" si="31"/>
        <v>3055951.85449372</v>
      </c>
      <c r="Y332" s="19"/>
    </row>
    <row r="333" ht="14.25" customHeight="1" spans="1:25">
      <c r="A333" s="10" t="s">
        <v>357</v>
      </c>
      <c r="B333">
        <v>1.115</v>
      </c>
      <c r="C333">
        <v>1.057</v>
      </c>
      <c r="D333">
        <v>1</v>
      </c>
      <c r="E333">
        <v>296</v>
      </c>
      <c r="F333">
        <v>43</v>
      </c>
      <c r="G333">
        <v>14</v>
      </c>
      <c r="H333" s="5">
        <f t="shared" si="0"/>
        <v>296.720555555556</v>
      </c>
      <c r="I333">
        <v>87</v>
      </c>
      <c r="J333">
        <v>5</v>
      </c>
      <c r="K333">
        <v>14</v>
      </c>
      <c r="L333" s="5">
        <f t="shared" si="1"/>
        <v>87.0872222222222</v>
      </c>
      <c r="M333" s="5">
        <f t="shared" si="28"/>
        <v>11.4703043312603</v>
      </c>
      <c r="N333" s="5">
        <f t="shared" si="29"/>
        <v>0.583625186026892</v>
      </c>
      <c r="O333">
        <v>1.52</v>
      </c>
      <c r="P333">
        <v>1497.001</v>
      </c>
      <c r="Q333" s="5">
        <f t="shared" si="17"/>
        <v>1498.04762518603</v>
      </c>
      <c r="T333" s="19"/>
      <c r="U333" s="19">
        <v>400.6975</v>
      </c>
      <c r="V333" s="19"/>
      <c r="W333" s="19">
        <f t="shared" si="30"/>
        <v>355901.083185211</v>
      </c>
      <c r="X333" s="19">
        <f t="shared" si="31"/>
        <v>3055943.50948367</v>
      </c>
      <c r="Y333" s="19"/>
    </row>
    <row r="334" ht="14.25" customHeight="1" spans="1:25">
      <c r="A334" s="10" t="s">
        <v>358</v>
      </c>
      <c r="B334">
        <v>1.128</v>
      </c>
      <c r="C334">
        <v>1.064</v>
      </c>
      <c r="D334">
        <v>1</v>
      </c>
      <c r="E334">
        <v>298</v>
      </c>
      <c r="F334">
        <v>21</v>
      </c>
      <c r="G334">
        <v>3</v>
      </c>
      <c r="H334" s="5">
        <f t="shared" si="0"/>
        <v>298.350833333333</v>
      </c>
      <c r="I334">
        <v>85</v>
      </c>
      <c r="J334">
        <v>24</v>
      </c>
      <c r="K334">
        <v>25</v>
      </c>
      <c r="L334" s="5">
        <f t="shared" si="1"/>
        <v>85.4069444444444</v>
      </c>
      <c r="M334" s="5">
        <f t="shared" si="28"/>
        <v>12.7179199511269</v>
      </c>
      <c r="N334" s="5">
        <f t="shared" si="29"/>
        <v>1.02170812424685</v>
      </c>
      <c r="O334">
        <v>1.52</v>
      </c>
      <c r="P334">
        <v>1497.001</v>
      </c>
      <c r="Q334" s="5">
        <f t="shared" si="17"/>
        <v>1498.47870812425</v>
      </c>
      <c r="T334" s="19"/>
      <c r="U334" s="19">
        <v>401.6975</v>
      </c>
      <c r="V334" s="19"/>
      <c r="W334" s="19">
        <f t="shared" si="30"/>
        <v>355906.064310941</v>
      </c>
      <c r="X334" s="19">
        <f t="shared" si="31"/>
        <v>3055941.31578347</v>
      </c>
      <c r="Y334" s="19"/>
    </row>
    <row r="335" ht="14.25" customHeight="1" spans="1:25">
      <c r="A335" s="10" t="s">
        <v>359</v>
      </c>
      <c r="B335">
        <v>1.126</v>
      </c>
      <c r="C335">
        <v>1.063</v>
      </c>
      <c r="D335">
        <v>1</v>
      </c>
      <c r="E335">
        <v>304</v>
      </c>
      <c r="F335">
        <v>9</v>
      </c>
      <c r="G335">
        <v>15</v>
      </c>
      <c r="H335" s="5">
        <f t="shared" si="0"/>
        <v>304.154166666667</v>
      </c>
      <c r="I335">
        <v>85</v>
      </c>
      <c r="J335">
        <v>6</v>
      </c>
      <c r="K335">
        <v>31</v>
      </c>
      <c r="L335" s="5">
        <f t="shared" si="1"/>
        <v>85.1086111111111</v>
      </c>
      <c r="M335" s="5">
        <f t="shared" si="28"/>
        <v>12.5083918026938</v>
      </c>
      <c r="N335" s="5">
        <f t="shared" si="29"/>
        <v>1.07045374689655</v>
      </c>
      <c r="O335">
        <v>1.52</v>
      </c>
      <c r="P335">
        <v>1497.001</v>
      </c>
      <c r="Q335" s="5">
        <f t="shared" si="17"/>
        <v>1498.5284537469</v>
      </c>
      <c r="T335" s="19"/>
      <c r="U335" s="19">
        <v>402.6975</v>
      </c>
      <c r="V335" s="19"/>
      <c r="W335" s="19">
        <f t="shared" si="30"/>
        <v>355913.857336044</v>
      </c>
      <c r="X335" s="19">
        <f t="shared" si="31"/>
        <v>3055942.08333587</v>
      </c>
      <c r="Y335" s="19"/>
    </row>
    <row r="336" ht="14.25" customHeight="1" spans="1:25">
      <c r="A336" s="10" t="s">
        <v>360</v>
      </c>
      <c r="B336">
        <v>1.068</v>
      </c>
      <c r="C336">
        <v>1.034</v>
      </c>
      <c r="D336">
        <v>1</v>
      </c>
      <c r="E336">
        <v>307</v>
      </c>
      <c r="F336">
        <v>54</v>
      </c>
      <c r="G336">
        <v>42</v>
      </c>
      <c r="H336" s="5">
        <f t="shared" si="0"/>
        <v>307.911666666667</v>
      </c>
      <c r="I336">
        <v>88</v>
      </c>
      <c r="J336">
        <v>37</v>
      </c>
      <c r="K336">
        <v>46</v>
      </c>
      <c r="L336" s="5">
        <f t="shared" si="1"/>
        <v>88.6294444444444</v>
      </c>
      <c r="M336" s="5">
        <f t="shared" si="28"/>
        <v>6.79610978055232</v>
      </c>
      <c r="N336" s="5">
        <f t="shared" si="29"/>
        <v>0.16259876517651</v>
      </c>
      <c r="O336">
        <v>1.52</v>
      </c>
      <c r="P336">
        <v>1497.001</v>
      </c>
      <c r="Q336" s="5">
        <f t="shared" si="17"/>
        <v>1497.64959876518</v>
      </c>
      <c r="T336" s="19"/>
      <c r="U336" s="19">
        <v>403.6975</v>
      </c>
      <c r="V336" s="19"/>
      <c r="W336" s="19">
        <f t="shared" si="30"/>
        <v>355920.323041473</v>
      </c>
      <c r="X336" s="19">
        <f t="shared" si="31"/>
        <v>3055941.16630056</v>
      </c>
      <c r="Y336" s="19"/>
    </row>
    <row r="337" ht="14.25" customHeight="1" spans="1:25">
      <c r="A337" s="10" t="s">
        <v>361</v>
      </c>
      <c r="B337">
        <v>1.072</v>
      </c>
      <c r="C337">
        <v>1.036</v>
      </c>
      <c r="D337">
        <v>1</v>
      </c>
      <c r="E337">
        <v>315</v>
      </c>
      <c r="F337">
        <v>1</v>
      </c>
      <c r="G337">
        <v>48</v>
      </c>
      <c r="H337" s="5">
        <f t="shared" si="0"/>
        <v>315.03</v>
      </c>
      <c r="I337">
        <v>83</v>
      </c>
      <c r="J337">
        <v>2</v>
      </c>
      <c r="K337">
        <v>4</v>
      </c>
      <c r="L337" s="5">
        <f t="shared" si="1"/>
        <v>83.0344444444444</v>
      </c>
      <c r="M337" s="5">
        <f t="shared" si="28"/>
        <v>7.09410922826119</v>
      </c>
      <c r="N337" s="5">
        <f t="shared" si="29"/>
        <v>0.866718351588362</v>
      </c>
      <c r="O337">
        <v>1.52</v>
      </c>
      <c r="P337">
        <v>1497.001</v>
      </c>
      <c r="Q337" s="5">
        <f t="shared" si="17"/>
        <v>1498.35171835159</v>
      </c>
      <c r="T337" s="19"/>
      <c r="U337" s="19">
        <v>404.6975</v>
      </c>
      <c r="V337" s="19"/>
      <c r="W337" s="19">
        <f t="shared" si="30"/>
        <v>355929.182662731</v>
      </c>
      <c r="X337" s="19">
        <f t="shared" si="31"/>
        <v>3055942.47982654</v>
      </c>
      <c r="Y337" s="19"/>
    </row>
    <row r="338" ht="14.25" customHeight="1" spans="1:25">
      <c r="A338" s="10" t="s">
        <v>362</v>
      </c>
      <c r="B338">
        <v>0.82</v>
      </c>
      <c r="C338">
        <v>0.61</v>
      </c>
      <c r="D338">
        <v>0.4</v>
      </c>
      <c r="E338">
        <v>302</v>
      </c>
      <c r="F338">
        <v>52</v>
      </c>
      <c r="G338">
        <v>1</v>
      </c>
      <c r="H338" s="5">
        <f t="shared" si="0"/>
        <v>302.866944444444</v>
      </c>
      <c r="I338">
        <v>88</v>
      </c>
      <c r="J338">
        <v>49</v>
      </c>
      <c r="K338">
        <v>17</v>
      </c>
      <c r="L338" s="5">
        <f t="shared" si="1"/>
        <v>88.8213888888889</v>
      </c>
      <c r="M338" s="5">
        <f t="shared" si="28"/>
        <v>41.9822301472403</v>
      </c>
      <c r="N338" s="5">
        <f t="shared" si="29"/>
        <v>0.863723363258938</v>
      </c>
      <c r="O338">
        <v>1.52</v>
      </c>
      <c r="P338">
        <v>1497.001</v>
      </c>
      <c r="Q338" s="5">
        <f t="shared" si="17"/>
        <v>1498.77472336326</v>
      </c>
      <c r="T338" s="19"/>
      <c r="U338" s="19">
        <v>405.6975</v>
      </c>
      <c r="V338" s="19"/>
      <c r="W338" s="19">
        <f t="shared" si="30"/>
        <v>355924.352441805</v>
      </c>
      <c r="X338" s="19">
        <f t="shared" si="31"/>
        <v>3055930.08336097</v>
      </c>
      <c r="Y338" s="19"/>
    </row>
    <row r="339" ht="14.25" customHeight="1" spans="1:25">
      <c r="A339" s="10" t="s">
        <v>363</v>
      </c>
      <c r="B339">
        <v>0.77</v>
      </c>
      <c r="C339">
        <v>0.585</v>
      </c>
      <c r="D339">
        <v>0.4</v>
      </c>
      <c r="E339">
        <v>304</v>
      </c>
      <c r="F339">
        <v>38</v>
      </c>
      <c r="G339">
        <v>10</v>
      </c>
      <c r="H339" s="5">
        <f t="shared" si="0"/>
        <v>304.636111111111</v>
      </c>
      <c r="I339">
        <v>88</v>
      </c>
      <c r="J339">
        <v>49</v>
      </c>
      <c r="K339">
        <v>13</v>
      </c>
      <c r="L339" s="5">
        <f t="shared" si="1"/>
        <v>88.8202777777778</v>
      </c>
      <c r="M339" s="5">
        <f t="shared" si="28"/>
        <v>36.9843160804538</v>
      </c>
      <c r="N339" s="5">
        <f t="shared" si="29"/>
        <v>0.761616069865568</v>
      </c>
      <c r="O339">
        <v>1.52</v>
      </c>
      <c r="P339">
        <v>1497.001</v>
      </c>
      <c r="Q339" s="5">
        <f t="shared" si="17"/>
        <v>1498.69761606987</v>
      </c>
      <c r="T339" s="19"/>
      <c r="U339" s="19">
        <v>406.6975</v>
      </c>
      <c r="V339" s="19"/>
      <c r="W339" s="19">
        <f t="shared" si="30"/>
        <v>355929.298746574</v>
      </c>
      <c r="X339" s="19">
        <f t="shared" si="31"/>
        <v>3055927.4817093</v>
      </c>
      <c r="Y339" s="19"/>
    </row>
    <row r="340" ht="14.25" customHeight="1" spans="1:25">
      <c r="A340" s="10" t="s">
        <v>364</v>
      </c>
      <c r="B340">
        <v>0.88</v>
      </c>
      <c r="C340">
        <v>0.69</v>
      </c>
      <c r="D340">
        <v>0.5</v>
      </c>
      <c r="E340">
        <v>309</v>
      </c>
      <c r="F340">
        <v>12</v>
      </c>
      <c r="G340">
        <v>40</v>
      </c>
      <c r="H340" s="5">
        <f t="shared" si="0"/>
        <v>309.211111111111</v>
      </c>
      <c r="I340">
        <v>88</v>
      </c>
      <c r="J340">
        <v>26</v>
      </c>
      <c r="K340">
        <v>17</v>
      </c>
      <c r="L340" s="5">
        <f t="shared" si="1"/>
        <v>88.4380555555556</v>
      </c>
      <c r="M340" s="5">
        <f t="shared" si="28"/>
        <v>37.9717666826141</v>
      </c>
      <c r="N340" s="5">
        <f t="shared" si="29"/>
        <v>1.03540762043513</v>
      </c>
      <c r="O340">
        <v>1.52</v>
      </c>
      <c r="P340">
        <v>1497.001</v>
      </c>
      <c r="Q340" s="5">
        <f t="shared" si="17"/>
        <v>1498.86640762043</v>
      </c>
      <c r="T340" s="19"/>
      <c r="U340" s="19">
        <v>407.6975</v>
      </c>
      <c r="V340" s="19"/>
      <c r="W340" s="19">
        <f t="shared" si="30"/>
        <v>355936.295072462</v>
      </c>
      <c r="X340" s="19">
        <f t="shared" si="31"/>
        <v>3055926.6599257</v>
      </c>
      <c r="Y340" s="19"/>
    </row>
    <row r="341" ht="14.25" customHeight="1" spans="1:25">
      <c r="A341" s="10" t="s">
        <v>365</v>
      </c>
      <c r="B341">
        <v>0.67</v>
      </c>
      <c r="C341">
        <v>0.535</v>
      </c>
      <c r="D341">
        <v>0.4</v>
      </c>
      <c r="E341">
        <v>304</v>
      </c>
      <c r="F341">
        <v>19</v>
      </c>
      <c r="G341">
        <v>8</v>
      </c>
      <c r="H341" s="5">
        <f t="shared" si="0"/>
        <v>304.318888888889</v>
      </c>
      <c r="I341">
        <v>88</v>
      </c>
      <c r="J341">
        <v>35</v>
      </c>
      <c r="K341">
        <v>38</v>
      </c>
      <c r="L341" s="5">
        <f t="shared" si="1"/>
        <v>88.5938888888889</v>
      </c>
      <c r="M341" s="5">
        <f t="shared" si="28"/>
        <v>26.9837418700831</v>
      </c>
      <c r="N341" s="5">
        <f t="shared" si="29"/>
        <v>0.662348232402621</v>
      </c>
      <c r="O341">
        <v>1.52</v>
      </c>
      <c r="P341">
        <v>1497.001</v>
      </c>
      <c r="Q341" s="5">
        <f t="shared" si="17"/>
        <v>1498.6483482324</v>
      </c>
      <c r="T341" s="19"/>
      <c r="U341" s="19">
        <v>408.6975</v>
      </c>
      <c r="V341" s="19"/>
      <c r="W341" s="19">
        <f t="shared" si="30"/>
        <v>355936.217102562</v>
      </c>
      <c r="X341" s="19">
        <f t="shared" si="31"/>
        <v>3055919.40794945</v>
      </c>
      <c r="Y341" s="19"/>
    </row>
    <row r="342" ht="14.25" customHeight="1" spans="1:25">
      <c r="A342" s="10" t="s">
        <v>366</v>
      </c>
      <c r="B342">
        <v>1.205</v>
      </c>
      <c r="C342">
        <v>1.102</v>
      </c>
      <c r="D342">
        <v>1</v>
      </c>
      <c r="E342">
        <v>316</v>
      </c>
      <c r="F342">
        <v>22</v>
      </c>
      <c r="G342">
        <v>59</v>
      </c>
      <c r="H342" s="5">
        <f t="shared" si="0"/>
        <v>316.383055555556</v>
      </c>
      <c r="I342">
        <v>86</v>
      </c>
      <c r="J342">
        <v>18</v>
      </c>
      <c r="K342">
        <v>24</v>
      </c>
      <c r="L342" s="5">
        <f t="shared" si="1"/>
        <v>86.3066666666667</v>
      </c>
      <c r="M342" s="5">
        <f t="shared" si="28"/>
        <v>20.4149363531822</v>
      </c>
      <c r="N342" s="5">
        <f t="shared" si="29"/>
        <v>1.31778941252171</v>
      </c>
      <c r="O342">
        <v>1.52</v>
      </c>
      <c r="P342">
        <v>1497.001</v>
      </c>
      <c r="Q342" s="5">
        <f t="shared" si="17"/>
        <v>1498.73678941252</v>
      </c>
      <c r="T342" s="19"/>
      <c r="U342" s="19">
        <v>409.6975</v>
      </c>
      <c r="V342" s="19"/>
      <c r="W342" s="19">
        <f t="shared" si="30"/>
        <v>355948.888407673</v>
      </c>
      <c r="X342" s="19">
        <f t="shared" si="31"/>
        <v>3055923.19085482</v>
      </c>
      <c r="Y342" s="19"/>
    </row>
    <row r="343" ht="14.25" customHeight="1" spans="1:25">
      <c r="A343" s="10" t="s">
        <v>367</v>
      </c>
      <c r="B343">
        <v>1.176</v>
      </c>
      <c r="C343">
        <v>1.088</v>
      </c>
      <c r="D343">
        <v>1</v>
      </c>
      <c r="E343">
        <v>254</v>
      </c>
      <c r="F343">
        <v>22</v>
      </c>
      <c r="G343">
        <v>2</v>
      </c>
      <c r="H343" s="5">
        <f t="shared" si="0"/>
        <v>254.367222222222</v>
      </c>
      <c r="I343">
        <v>96</v>
      </c>
      <c r="J343">
        <v>4</v>
      </c>
      <c r="K343">
        <v>32</v>
      </c>
      <c r="L343" s="5">
        <f t="shared" si="1"/>
        <v>96.0755555555556</v>
      </c>
      <c r="M343" s="5">
        <f t="shared" si="28"/>
        <v>17.4028435327773</v>
      </c>
      <c r="N343" s="5">
        <f t="shared" si="29"/>
        <v>-1.85231831782542</v>
      </c>
      <c r="O343">
        <v>1.52</v>
      </c>
      <c r="P343">
        <v>1497.001</v>
      </c>
      <c r="Q343" s="5">
        <f t="shared" si="17"/>
        <v>1495.58068168217</v>
      </c>
      <c r="T343" s="19"/>
      <c r="U343" s="19">
        <v>410.6975</v>
      </c>
      <c r="V343" s="19"/>
      <c r="W343" s="19">
        <f t="shared" si="30"/>
        <v>355904.434554747</v>
      </c>
      <c r="X343" s="19">
        <f t="shared" si="31"/>
        <v>3055879.66692159</v>
      </c>
      <c r="Y343" s="19"/>
    </row>
    <row r="344" ht="14.25" customHeight="1" spans="1:25">
      <c r="A344" s="10" t="s">
        <v>368</v>
      </c>
      <c r="B344">
        <v>1.142</v>
      </c>
      <c r="C344">
        <v>1.072</v>
      </c>
      <c r="D344">
        <v>1</v>
      </c>
      <c r="E344">
        <v>269</v>
      </c>
      <c r="F344">
        <v>2</v>
      </c>
      <c r="G344">
        <v>40</v>
      </c>
      <c r="H344" s="5">
        <f t="shared" si="0"/>
        <v>269.044444444444</v>
      </c>
      <c r="I344">
        <v>97</v>
      </c>
      <c r="J344">
        <v>2</v>
      </c>
      <c r="K344">
        <v>6</v>
      </c>
      <c r="L344" s="5">
        <f t="shared" si="1"/>
        <v>97.035</v>
      </c>
      <c r="M344" s="5">
        <f t="shared" si="28"/>
        <v>13.9869960158552</v>
      </c>
      <c r="N344" s="5">
        <f t="shared" si="29"/>
        <v>-1.72606079776875</v>
      </c>
      <c r="O344">
        <v>1.52</v>
      </c>
      <c r="P344">
        <v>1497.001</v>
      </c>
      <c r="Q344" s="5">
        <f t="shared" si="17"/>
        <v>1495.72293920223</v>
      </c>
      <c r="T344" s="19"/>
      <c r="U344" s="19">
        <v>411.6975</v>
      </c>
      <c r="V344" s="19"/>
      <c r="W344" s="19">
        <f t="shared" si="30"/>
        <v>355918.73444682</v>
      </c>
      <c r="X344" s="19">
        <f t="shared" si="31"/>
        <v>3055885.30431764</v>
      </c>
      <c r="Y344" s="19"/>
    </row>
    <row r="345" ht="14.25" customHeight="1" spans="1:25">
      <c r="A345" s="10" t="s">
        <v>369</v>
      </c>
      <c r="B345">
        <v>1.123</v>
      </c>
      <c r="C345">
        <v>1.063</v>
      </c>
      <c r="D345">
        <v>1</v>
      </c>
      <c r="E345">
        <v>279</v>
      </c>
      <c r="F345">
        <v>49</v>
      </c>
      <c r="G345">
        <v>3</v>
      </c>
      <c r="H345" s="5">
        <f t="shared" si="0"/>
        <v>279.8175</v>
      </c>
      <c r="I345">
        <v>99</v>
      </c>
      <c r="J345">
        <v>5</v>
      </c>
      <c r="K345">
        <v>37</v>
      </c>
      <c r="L345" s="5">
        <f t="shared" si="1"/>
        <v>99.0936111111111</v>
      </c>
      <c r="M345" s="5">
        <f t="shared" si="28"/>
        <v>11.9927563507673</v>
      </c>
      <c r="N345" s="5">
        <f t="shared" si="29"/>
        <v>-1.91955677841741</v>
      </c>
      <c r="O345">
        <v>1.52</v>
      </c>
      <c r="P345">
        <v>1497.001</v>
      </c>
      <c r="Q345" s="5">
        <f t="shared" si="17"/>
        <v>1495.53844322158</v>
      </c>
      <c r="T345" s="19"/>
      <c r="U345" s="19">
        <v>412.6975</v>
      </c>
      <c r="V345" s="19"/>
      <c r="W345" s="19">
        <f t="shared" si="30"/>
        <v>355930.182001957</v>
      </c>
      <c r="X345" s="19">
        <f t="shared" si="31"/>
        <v>3055888.12287103</v>
      </c>
      <c r="Y345" s="19"/>
    </row>
    <row r="346" ht="14.25" customHeight="1" spans="1:25">
      <c r="A346" s="10" t="s">
        <v>370</v>
      </c>
      <c r="B346">
        <v>1.402</v>
      </c>
      <c r="C346">
        <v>1.352</v>
      </c>
      <c r="D346">
        <v>1.3</v>
      </c>
      <c r="E346">
        <v>244</v>
      </c>
      <c r="F346">
        <v>4</v>
      </c>
      <c r="G346">
        <v>44</v>
      </c>
      <c r="H346" s="5">
        <f t="shared" si="0"/>
        <v>244.078888888889</v>
      </c>
      <c r="I346">
        <v>99</v>
      </c>
      <c r="J346">
        <v>13</v>
      </c>
      <c r="K346">
        <v>32</v>
      </c>
      <c r="L346" s="5">
        <f t="shared" si="1"/>
        <v>99.2255555555556</v>
      </c>
      <c r="M346" s="5">
        <f t="shared" si="28"/>
        <v>9.93782969147823</v>
      </c>
      <c r="N346" s="5">
        <f t="shared" si="29"/>
        <v>-1.61412635077045</v>
      </c>
      <c r="O346">
        <v>1.52</v>
      </c>
      <c r="P346">
        <v>1497.001</v>
      </c>
      <c r="Q346" s="5">
        <f t="shared" si="17"/>
        <v>1495.55487364923</v>
      </c>
      <c r="T346" s="19"/>
      <c r="U346" s="19">
        <v>413.6975</v>
      </c>
      <c r="V346" s="19"/>
      <c r="W346" s="19">
        <f t="shared" si="30"/>
        <v>355904.305774693</v>
      </c>
      <c r="X346" s="19">
        <f t="shared" si="31"/>
        <v>3055863.05350166</v>
      </c>
      <c r="Y346" s="19"/>
    </row>
    <row r="347" ht="14.25" customHeight="1" spans="1:25">
      <c r="A347" s="10" t="s">
        <v>371</v>
      </c>
      <c r="B347">
        <v>1.072</v>
      </c>
      <c r="C347">
        <v>1.035</v>
      </c>
      <c r="D347">
        <v>1</v>
      </c>
      <c r="E347">
        <v>253</v>
      </c>
      <c r="F347">
        <v>5</v>
      </c>
      <c r="G347">
        <v>51</v>
      </c>
      <c r="H347" s="5">
        <f t="shared" si="0"/>
        <v>253.0975</v>
      </c>
      <c r="I347">
        <v>107</v>
      </c>
      <c r="J347">
        <v>19</v>
      </c>
      <c r="K347">
        <v>14</v>
      </c>
      <c r="L347" s="5">
        <f t="shared" si="1"/>
        <v>107.320555555556</v>
      </c>
      <c r="M347" s="5">
        <f t="shared" si="28"/>
        <v>6.56182337407576</v>
      </c>
      <c r="N347" s="5">
        <f t="shared" si="29"/>
        <v>-2.04636318887399</v>
      </c>
      <c r="O347">
        <v>1.52</v>
      </c>
      <c r="P347">
        <v>1497.001</v>
      </c>
      <c r="Q347" s="5">
        <f t="shared" si="17"/>
        <v>1495.43963681113</v>
      </c>
      <c r="T347" s="19"/>
      <c r="U347" s="19">
        <v>414.6975</v>
      </c>
      <c r="V347" s="19"/>
      <c r="W347" s="19">
        <f t="shared" si="30"/>
        <v>355914.158002098</v>
      </c>
      <c r="X347" s="19">
        <f t="shared" si="31"/>
        <v>3055864.81033274</v>
      </c>
      <c r="Y347" s="19"/>
    </row>
    <row r="348" ht="14.25" customHeight="1" spans="1:25">
      <c r="A348" s="10" t="s">
        <v>372</v>
      </c>
      <c r="B348">
        <v>1.068</v>
      </c>
      <c r="C348">
        <v>1.034</v>
      </c>
      <c r="D348">
        <v>1</v>
      </c>
      <c r="E348">
        <v>217</v>
      </c>
      <c r="F348">
        <v>42</v>
      </c>
      <c r="G348">
        <v>58</v>
      </c>
      <c r="H348" s="5">
        <f t="shared" si="0"/>
        <v>217.716111111111</v>
      </c>
      <c r="I348">
        <v>110</v>
      </c>
      <c r="J348">
        <v>40</v>
      </c>
      <c r="K348">
        <v>14</v>
      </c>
      <c r="L348" s="5">
        <f t="shared" si="1"/>
        <v>110.670555555556</v>
      </c>
      <c r="M348" s="5">
        <f t="shared" si="28"/>
        <v>5.95268726803965</v>
      </c>
      <c r="N348" s="5">
        <f t="shared" si="29"/>
        <v>-2.24583786404724</v>
      </c>
      <c r="O348">
        <v>1.52</v>
      </c>
      <c r="P348">
        <v>1497.001</v>
      </c>
      <c r="Q348" s="5">
        <f t="shared" si="17"/>
        <v>1495.24116213595</v>
      </c>
      <c r="T348" s="19"/>
      <c r="U348" s="19">
        <v>415.6975</v>
      </c>
      <c r="V348" s="19"/>
      <c r="W348" s="19">
        <f t="shared" si="30"/>
        <v>355887.451554714</v>
      </c>
      <c r="X348" s="19">
        <f t="shared" si="31"/>
        <v>3055841.24354725</v>
      </c>
      <c r="Y348" s="19"/>
    </row>
    <row r="349" ht="14.25" customHeight="1" spans="1:25">
      <c r="A349" s="10" t="s">
        <v>373</v>
      </c>
      <c r="B349">
        <v>1.156</v>
      </c>
      <c r="C349">
        <v>1.079</v>
      </c>
      <c r="D349">
        <v>1</v>
      </c>
      <c r="E349">
        <v>150</v>
      </c>
      <c r="F349">
        <v>10</v>
      </c>
      <c r="G349">
        <v>1</v>
      </c>
      <c r="H349" s="5">
        <f t="shared" si="0"/>
        <v>150.166944444444</v>
      </c>
      <c r="I349">
        <v>95</v>
      </c>
      <c r="J349">
        <v>48</v>
      </c>
      <c r="K349">
        <v>44</v>
      </c>
      <c r="L349" s="5">
        <f t="shared" si="1"/>
        <v>95.8122222222222</v>
      </c>
      <c r="M349" s="5">
        <f t="shared" si="28"/>
        <v>15.4400171122372</v>
      </c>
      <c r="N349" s="5">
        <f t="shared" si="29"/>
        <v>-1.57166743451729</v>
      </c>
      <c r="O349">
        <v>1.52</v>
      </c>
      <c r="P349">
        <v>1497.001</v>
      </c>
      <c r="Q349" s="5">
        <f t="shared" si="17"/>
        <v>1495.87033256548</v>
      </c>
      <c r="T349" s="19"/>
      <c r="U349" s="19">
        <v>416.6975</v>
      </c>
      <c r="V349" s="19"/>
      <c r="W349" s="19">
        <f t="shared" si="30"/>
        <v>355833.109040215</v>
      </c>
      <c r="X349" s="19">
        <f t="shared" si="31"/>
        <v>3055800.99755525</v>
      </c>
      <c r="Y349" s="19"/>
    </row>
    <row r="350" ht="14.25" customHeight="1" spans="1:25">
      <c r="A350" s="10" t="s">
        <v>374</v>
      </c>
      <c r="B350">
        <v>1.122</v>
      </c>
      <c r="C350">
        <v>1.061</v>
      </c>
      <c r="D350">
        <v>1</v>
      </c>
      <c r="E350">
        <v>140</v>
      </c>
      <c r="F350">
        <v>14</v>
      </c>
      <c r="G350">
        <v>14</v>
      </c>
      <c r="H350" s="5">
        <f t="shared" si="0"/>
        <v>140.237222222222</v>
      </c>
      <c r="I350">
        <v>93</v>
      </c>
      <c r="J350">
        <v>32</v>
      </c>
      <c r="K350">
        <v>21</v>
      </c>
      <c r="L350" s="5">
        <f t="shared" si="1"/>
        <v>93.5391666666667</v>
      </c>
      <c r="M350" s="5">
        <f t="shared" si="28"/>
        <v>12.1535095051886</v>
      </c>
      <c r="N350" s="5">
        <f t="shared" si="29"/>
        <v>-0.751679899020097</v>
      </c>
      <c r="O350">
        <v>1.52</v>
      </c>
      <c r="P350">
        <v>1497.001</v>
      </c>
      <c r="Q350" s="5">
        <f t="shared" si="17"/>
        <v>1496.70832010098</v>
      </c>
      <c r="T350" s="19"/>
      <c r="U350" s="19">
        <v>417.6975</v>
      </c>
      <c r="V350" s="19"/>
      <c r="W350" s="19">
        <f t="shared" si="30"/>
        <v>355826.135901796</v>
      </c>
      <c r="X350" s="19">
        <f t="shared" si="31"/>
        <v>3055793.48826114</v>
      </c>
      <c r="Y350" s="19"/>
    </row>
    <row r="351" ht="14.25" customHeight="1" spans="1:25">
      <c r="A351" s="10" t="s">
        <v>375</v>
      </c>
      <c r="B351">
        <v>1.128</v>
      </c>
      <c r="C351">
        <v>1.063</v>
      </c>
      <c r="D351">
        <v>1</v>
      </c>
      <c r="E351">
        <v>137</v>
      </c>
      <c r="F351">
        <v>37</v>
      </c>
      <c r="G351">
        <v>56</v>
      </c>
      <c r="H351" s="5">
        <f t="shared" si="0"/>
        <v>137.632222222222</v>
      </c>
      <c r="I351">
        <v>90</v>
      </c>
      <c r="J351">
        <v>30</v>
      </c>
      <c r="K351">
        <v>28</v>
      </c>
      <c r="L351" s="5">
        <f t="shared" si="1"/>
        <v>90.5077777777778</v>
      </c>
      <c r="M351" s="5">
        <f t="shared" si="28"/>
        <v>12.7989946883487</v>
      </c>
      <c r="N351" s="5">
        <f t="shared" si="29"/>
        <v>-0.113432704653171</v>
      </c>
      <c r="O351">
        <v>1.52</v>
      </c>
      <c r="P351">
        <v>1497.001</v>
      </c>
      <c r="Q351" s="5">
        <f t="shared" si="17"/>
        <v>1497.34456729535</v>
      </c>
      <c r="T351" s="19"/>
      <c r="U351" s="19">
        <v>418.6975</v>
      </c>
      <c r="V351" s="19"/>
      <c r="W351" s="19">
        <f t="shared" si="30"/>
        <v>355825.199947657</v>
      </c>
      <c r="X351" s="19">
        <f t="shared" si="31"/>
        <v>3055790.05470099</v>
      </c>
      <c r="Y351" s="19"/>
    </row>
    <row r="352" ht="14.25" customHeight="1" spans="1:25">
      <c r="A352" s="10" t="s">
        <v>376</v>
      </c>
      <c r="B352">
        <v>1.144</v>
      </c>
      <c r="C352">
        <v>1.072</v>
      </c>
      <c r="D352">
        <v>1</v>
      </c>
      <c r="E352">
        <v>142</v>
      </c>
      <c r="F352">
        <v>35</v>
      </c>
      <c r="G352">
        <v>18</v>
      </c>
      <c r="H352" s="5">
        <f t="shared" si="0"/>
        <v>142.588333333333</v>
      </c>
      <c r="I352">
        <v>91</v>
      </c>
      <c r="J352">
        <v>21</v>
      </c>
      <c r="K352">
        <v>21</v>
      </c>
      <c r="L352" s="5">
        <f t="shared" si="1"/>
        <v>91.3558333333333</v>
      </c>
      <c r="M352" s="5">
        <f t="shared" si="28"/>
        <v>14.3919378889661</v>
      </c>
      <c r="N352" s="5">
        <f t="shared" si="29"/>
        <v>-0.340630887111442</v>
      </c>
      <c r="O352">
        <v>1.52</v>
      </c>
      <c r="P352">
        <v>1497.001</v>
      </c>
      <c r="Q352" s="5">
        <f t="shared" si="17"/>
        <v>1497.10836911289</v>
      </c>
      <c r="T352" s="19"/>
      <c r="U352" s="19">
        <v>419.6975</v>
      </c>
      <c r="V352" s="19"/>
      <c r="W352" s="19">
        <f t="shared" si="30"/>
        <v>355830.708993556</v>
      </c>
      <c r="X352" s="19">
        <f t="shared" si="31"/>
        <v>3055790.49212451</v>
      </c>
      <c r="Y352" s="19"/>
    </row>
    <row r="353" ht="14.25" customHeight="1" spans="1:26">
      <c r="A353" s="6" t="s">
        <v>377</v>
      </c>
      <c r="B353" s="7">
        <v>1.242</v>
      </c>
      <c r="C353" s="7">
        <v>1.121</v>
      </c>
      <c r="D353" s="7">
        <v>1</v>
      </c>
      <c r="E353" s="7">
        <v>358</v>
      </c>
      <c r="F353" s="7">
        <v>31</v>
      </c>
      <c r="G353" s="7">
        <v>54</v>
      </c>
      <c r="H353" s="8">
        <f t="shared" si="0"/>
        <v>358.531666666667</v>
      </c>
      <c r="I353" s="7">
        <v>92</v>
      </c>
      <c r="J353" s="7">
        <v>53</v>
      </c>
      <c r="K353" s="7">
        <v>37</v>
      </c>
      <c r="L353" s="8">
        <f t="shared" si="1"/>
        <v>92.8936111111111</v>
      </c>
      <c r="M353" s="8">
        <f t="shared" si="28"/>
        <v>24.1383289751517</v>
      </c>
      <c r="N353" s="8">
        <f t="shared" si="29"/>
        <v>-1.22009650684785</v>
      </c>
      <c r="O353" s="7">
        <v>1.58</v>
      </c>
      <c r="P353" s="7">
        <v>1495.684</v>
      </c>
      <c r="Q353" s="8">
        <f t="shared" si="17"/>
        <v>1494.92290349315</v>
      </c>
      <c r="R353" s="7" t="s">
        <v>378</v>
      </c>
      <c r="S353" s="7">
        <v>355704.854</v>
      </c>
      <c r="T353" s="7">
        <v>3055754.168</v>
      </c>
      <c r="U353" s="7">
        <v>225.79</v>
      </c>
      <c r="V353" s="7"/>
      <c r="W353" s="7">
        <f>$S$353+(H353*SIN(U353*3.141592654/180))</f>
        <v>355447.862474285</v>
      </c>
      <c r="X353" s="7">
        <f>$S$353+(I353*SIN(V353*3.141592654/180))</f>
        <v>355704.854</v>
      </c>
      <c r="Y353" s="7"/>
      <c r="Z353" s="7"/>
    </row>
    <row r="354" ht="14.25" customHeight="1" spans="1:25">
      <c r="A354" s="10" t="s">
        <v>379</v>
      </c>
      <c r="B354">
        <v>1.226</v>
      </c>
      <c r="C354">
        <v>1.116</v>
      </c>
      <c r="D354">
        <v>1</v>
      </c>
      <c r="E354">
        <v>7</v>
      </c>
      <c r="F354">
        <v>2</v>
      </c>
      <c r="G354">
        <v>7</v>
      </c>
      <c r="H354" s="5">
        <f t="shared" si="0"/>
        <v>7.03527777777778</v>
      </c>
      <c r="I354">
        <v>92</v>
      </c>
      <c r="J354">
        <v>45</v>
      </c>
      <c r="K354">
        <v>25</v>
      </c>
      <c r="L354" s="5">
        <f t="shared" si="1"/>
        <v>92.7569444444444</v>
      </c>
      <c r="M354" s="5">
        <f t="shared" si="28"/>
        <v>22.5477141706537</v>
      </c>
      <c r="N354" s="5">
        <f t="shared" si="29"/>
        <v>-1.08578355820831</v>
      </c>
      <c r="O354">
        <v>1.58</v>
      </c>
      <c r="P354">
        <v>1495.684</v>
      </c>
      <c r="Q354" s="5">
        <f t="shared" si="17"/>
        <v>1495.06221644179</v>
      </c>
      <c r="T354" s="19"/>
      <c r="U354" s="19">
        <v>226.79</v>
      </c>
      <c r="V354" s="19"/>
      <c r="W354" s="19">
        <f t="shared" ref="W354:W385" si="32">$S$353+(H354*SIN(U354*3.141592654/180))</f>
        <v>355699.726343837</v>
      </c>
      <c r="X354" s="19">
        <f t="shared" ref="X354:X385" si="33">$S$353+(I354*SIN(V354*3.141592654/180))</f>
        <v>355704.854</v>
      </c>
      <c r="Y354" s="19"/>
    </row>
    <row r="355" ht="14.25" customHeight="1" spans="1:25">
      <c r="A355" s="10" t="s">
        <v>380</v>
      </c>
      <c r="B355">
        <v>1.02</v>
      </c>
      <c r="C355">
        <v>1.01</v>
      </c>
      <c r="D355">
        <v>1</v>
      </c>
      <c r="E355">
        <v>4</v>
      </c>
      <c r="F355">
        <v>38</v>
      </c>
      <c r="G355">
        <v>14</v>
      </c>
      <c r="H355" s="5">
        <f t="shared" si="0"/>
        <v>4.63722222222222</v>
      </c>
      <c r="I355">
        <v>109</v>
      </c>
      <c r="J355">
        <v>59</v>
      </c>
      <c r="K355">
        <v>20</v>
      </c>
      <c r="L355" s="5">
        <f t="shared" si="1"/>
        <v>109.988888888889</v>
      </c>
      <c r="M355" s="5">
        <f t="shared" si="28"/>
        <v>1.76629369127711</v>
      </c>
      <c r="N355" s="5">
        <f t="shared" si="29"/>
        <v>-0.642490450286159</v>
      </c>
      <c r="O355">
        <v>1.58</v>
      </c>
      <c r="P355">
        <v>1495.684</v>
      </c>
      <c r="Q355" s="5">
        <f t="shared" si="17"/>
        <v>1495.61150954971</v>
      </c>
      <c r="T355" s="19"/>
      <c r="U355" s="19">
        <v>227.79</v>
      </c>
      <c r="V355" s="19"/>
      <c r="W355" s="19">
        <f t="shared" si="32"/>
        <v>355701.41926817</v>
      </c>
      <c r="X355" s="19">
        <f t="shared" si="33"/>
        <v>355704.854</v>
      </c>
      <c r="Y355" s="19"/>
    </row>
    <row r="356" ht="14.25" customHeight="1" spans="1:25">
      <c r="A356" s="10" t="s">
        <v>381</v>
      </c>
      <c r="B356">
        <v>1.082</v>
      </c>
      <c r="C356">
        <v>1.041</v>
      </c>
      <c r="D356">
        <v>1</v>
      </c>
      <c r="E356">
        <v>307</v>
      </c>
      <c r="F356">
        <v>4</v>
      </c>
      <c r="G356">
        <v>11</v>
      </c>
      <c r="H356" s="5">
        <f t="shared" si="0"/>
        <v>307.069722222222</v>
      </c>
      <c r="I356">
        <v>95</v>
      </c>
      <c r="J356">
        <v>46</v>
      </c>
      <c r="K356">
        <v>59</v>
      </c>
      <c r="L356" s="5">
        <f t="shared" si="1"/>
        <v>95.7830555555555</v>
      </c>
      <c r="M356" s="5">
        <f t="shared" si="28"/>
        <v>8.11674544241143</v>
      </c>
      <c r="N356" s="5">
        <f t="shared" si="29"/>
        <v>-0.82204382539316</v>
      </c>
      <c r="O356">
        <v>1.58</v>
      </c>
      <c r="P356">
        <v>1495.684</v>
      </c>
      <c r="Q356" s="5">
        <f t="shared" si="17"/>
        <v>1495.40095617461</v>
      </c>
      <c r="T356" s="19"/>
      <c r="U356" s="19">
        <v>228.79</v>
      </c>
      <c r="V356" s="19"/>
      <c r="W356" s="19">
        <f t="shared" si="32"/>
        <v>355473.845467999</v>
      </c>
      <c r="X356" s="19">
        <f t="shared" si="33"/>
        <v>355704.854</v>
      </c>
      <c r="Y356" s="19"/>
    </row>
    <row r="357" ht="14.25" customHeight="1" spans="1:25">
      <c r="A357" s="10" t="s">
        <v>382</v>
      </c>
      <c r="B357">
        <v>1.092</v>
      </c>
      <c r="C357">
        <v>1.046</v>
      </c>
      <c r="D357">
        <v>1</v>
      </c>
      <c r="E357">
        <v>246</v>
      </c>
      <c r="F357">
        <v>20</v>
      </c>
      <c r="G357">
        <v>5</v>
      </c>
      <c r="H357" s="5">
        <f t="shared" si="0"/>
        <v>246.334722222222</v>
      </c>
      <c r="I357">
        <v>93</v>
      </c>
      <c r="J357">
        <v>7</v>
      </c>
      <c r="K357">
        <v>47</v>
      </c>
      <c r="L357" s="5">
        <f t="shared" si="1"/>
        <v>93.1297222222222</v>
      </c>
      <c r="M357" s="5">
        <f t="shared" si="28"/>
        <v>9.17257654554577</v>
      </c>
      <c r="N357" s="5">
        <f t="shared" si="29"/>
        <v>-0.501541359336192</v>
      </c>
      <c r="O357">
        <v>1.58</v>
      </c>
      <c r="P357">
        <v>1495.684</v>
      </c>
      <c r="Q357" s="5">
        <f t="shared" si="17"/>
        <v>1495.71645864066</v>
      </c>
      <c r="T357" s="19"/>
      <c r="U357" s="19">
        <v>229.79</v>
      </c>
      <c r="V357" s="19"/>
      <c r="W357" s="19">
        <f t="shared" si="32"/>
        <v>355516.732270732</v>
      </c>
      <c r="X357" s="19">
        <f t="shared" si="33"/>
        <v>355704.854</v>
      </c>
      <c r="Y357" s="19"/>
    </row>
    <row r="358" ht="14.25" customHeight="1" spans="1:25">
      <c r="A358" s="10" t="s">
        <v>383</v>
      </c>
      <c r="B358">
        <v>1.116</v>
      </c>
      <c r="C358">
        <v>1.058</v>
      </c>
      <c r="D358">
        <v>1</v>
      </c>
      <c r="E358">
        <v>234</v>
      </c>
      <c r="F358">
        <v>44</v>
      </c>
      <c r="G358">
        <v>19</v>
      </c>
      <c r="H358" s="5">
        <f t="shared" si="0"/>
        <v>234.738611111111</v>
      </c>
      <c r="I358">
        <v>91</v>
      </c>
      <c r="J358">
        <v>55</v>
      </c>
      <c r="K358">
        <v>47</v>
      </c>
      <c r="L358" s="5">
        <f t="shared" si="1"/>
        <v>91.9297222222222</v>
      </c>
      <c r="M358" s="5">
        <f t="shared" si="28"/>
        <v>11.5868465977561</v>
      </c>
      <c r="N358" s="5">
        <f t="shared" si="29"/>
        <v>-0.390392692092265</v>
      </c>
      <c r="O358">
        <v>1.58</v>
      </c>
      <c r="P358">
        <v>1495.684</v>
      </c>
      <c r="Q358" s="5">
        <f t="shared" si="17"/>
        <v>1495.81560730791</v>
      </c>
      <c r="T358" s="19"/>
      <c r="U358" s="19">
        <v>230.79</v>
      </c>
      <c r="V358" s="19"/>
      <c r="W358" s="19">
        <f t="shared" si="32"/>
        <v>355522.970503724</v>
      </c>
      <c r="X358" s="19">
        <f t="shared" si="33"/>
        <v>355704.854</v>
      </c>
      <c r="Y358" s="19"/>
    </row>
    <row r="359" ht="14.25" customHeight="1" spans="1:25">
      <c r="A359" s="10" t="s">
        <v>384</v>
      </c>
      <c r="B359">
        <v>1.068</v>
      </c>
      <c r="C359">
        <v>1.034</v>
      </c>
      <c r="D359">
        <v>1</v>
      </c>
      <c r="E359">
        <v>228</v>
      </c>
      <c r="F359">
        <v>4</v>
      </c>
      <c r="G359">
        <v>33</v>
      </c>
      <c r="H359" s="5">
        <f t="shared" si="0"/>
        <v>228.075833333333</v>
      </c>
      <c r="I359">
        <v>92</v>
      </c>
      <c r="J359">
        <v>46</v>
      </c>
      <c r="K359">
        <v>47</v>
      </c>
      <c r="L359" s="5">
        <f t="shared" si="1"/>
        <v>92.7797222222222</v>
      </c>
      <c r="M359" s="5">
        <f t="shared" si="28"/>
        <v>6.78400715673023</v>
      </c>
      <c r="N359" s="5">
        <f t="shared" si="29"/>
        <v>-0.329386646964671</v>
      </c>
      <c r="O359">
        <v>1.58</v>
      </c>
      <c r="P359">
        <v>1495.684</v>
      </c>
      <c r="Q359" s="5">
        <f t="shared" si="17"/>
        <v>1495.90061335304</v>
      </c>
      <c r="T359" s="19"/>
      <c r="U359" s="19">
        <v>231.79</v>
      </c>
      <c r="V359" s="19"/>
      <c r="W359" s="19">
        <f t="shared" si="32"/>
        <v>355525.643653687</v>
      </c>
      <c r="X359" s="19">
        <f t="shared" si="33"/>
        <v>355704.854</v>
      </c>
      <c r="Y359" s="19"/>
    </row>
    <row r="360" ht="14.25" customHeight="1" spans="1:25">
      <c r="A360" s="10" t="s">
        <v>385</v>
      </c>
      <c r="B360">
        <v>1.212</v>
      </c>
      <c r="C360">
        <v>1.106</v>
      </c>
      <c r="D360">
        <v>1</v>
      </c>
      <c r="E360">
        <v>214</v>
      </c>
      <c r="F360">
        <v>43</v>
      </c>
      <c r="G360">
        <v>39</v>
      </c>
      <c r="H360" s="5">
        <f t="shared" si="0"/>
        <v>214.7275</v>
      </c>
      <c r="I360">
        <v>89</v>
      </c>
      <c r="J360">
        <v>33</v>
      </c>
      <c r="K360">
        <v>49</v>
      </c>
      <c r="L360" s="5">
        <f t="shared" si="1"/>
        <v>89.5636111111111</v>
      </c>
      <c r="M360" s="5">
        <f t="shared" si="28"/>
        <v>21.1987702139372</v>
      </c>
      <c r="N360" s="5">
        <f t="shared" si="29"/>
        <v>0.161461921692081</v>
      </c>
      <c r="O360">
        <v>1.58</v>
      </c>
      <c r="P360">
        <v>1495.684</v>
      </c>
      <c r="Q360" s="5">
        <f t="shared" si="17"/>
        <v>1496.31946192169</v>
      </c>
      <c r="T360" s="19"/>
      <c r="U360" s="19">
        <v>232.79</v>
      </c>
      <c r="V360" s="19"/>
      <c r="W360" s="19">
        <f t="shared" si="32"/>
        <v>355533.839783136</v>
      </c>
      <c r="X360" s="19">
        <f t="shared" si="33"/>
        <v>355704.854</v>
      </c>
      <c r="Y360" s="19"/>
    </row>
    <row r="361" ht="14.25" customHeight="1" spans="1:25">
      <c r="A361" s="10" t="s">
        <v>386</v>
      </c>
      <c r="B361">
        <v>1.2</v>
      </c>
      <c r="C361">
        <v>1.1</v>
      </c>
      <c r="D361">
        <v>1</v>
      </c>
      <c r="E361">
        <v>205</v>
      </c>
      <c r="F361">
        <v>19</v>
      </c>
      <c r="G361">
        <v>22</v>
      </c>
      <c r="H361" s="5">
        <f t="shared" si="0"/>
        <v>205.322777777778</v>
      </c>
      <c r="I361">
        <v>89</v>
      </c>
      <c r="J361">
        <v>4</v>
      </c>
      <c r="K361">
        <v>45</v>
      </c>
      <c r="L361" s="5">
        <f t="shared" si="1"/>
        <v>89.0791666666667</v>
      </c>
      <c r="M361" s="5">
        <f t="shared" si="28"/>
        <v>19.9948345352479</v>
      </c>
      <c r="N361" s="5">
        <f t="shared" si="29"/>
        <v>0.321376123905129</v>
      </c>
      <c r="O361">
        <v>1.58</v>
      </c>
      <c r="P361">
        <v>1495.684</v>
      </c>
      <c r="Q361" s="5">
        <f t="shared" si="17"/>
        <v>1496.48537612391</v>
      </c>
      <c r="T361" s="19"/>
      <c r="U361" s="19">
        <v>233.79</v>
      </c>
      <c r="V361" s="19"/>
      <c r="W361" s="19">
        <f t="shared" si="32"/>
        <v>355539.187834313</v>
      </c>
      <c r="X361" s="19">
        <f t="shared" si="33"/>
        <v>355704.854</v>
      </c>
      <c r="Y361" s="19"/>
    </row>
    <row r="362" ht="14.25" customHeight="1" spans="1:25">
      <c r="A362" s="10" t="s">
        <v>387</v>
      </c>
      <c r="B362">
        <v>0.912</v>
      </c>
      <c r="C362">
        <v>0.706</v>
      </c>
      <c r="D362">
        <v>0.5</v>
      </c>
      <c r="E362">
        <v>200</v>
      </c>
      <c r="F362">
        <v>27</v>
      </c>
      <c r="G362">
        <v>11</v>
      </c>
      <c r="H362" s="5">
        <f t="shared" si="0"/>
        <v>200.453055555556</v>
      </c>
      <c r="I362">
        <v>88</v>
      </c>
      <c r="J362">
        <v>3</v>
      </c>
      <c r="K362">
        <v>32</v>
      </c>
      <c r="L362" s="5">
        <f t="shared" si="1"/>
        <v>88.0588888888889</v>
      </c>
      <c r="M362" s="5">
        <f t="shared" si="28"/>
        <v>41.1527298936966</v>
      </c>
      <c r="N362" s="5">
        <f t="shared" si="29"/>
        <v>1.39473793837761</v>
      </c>
      <c r="O362">
        <v>1.58</v>
      </c>
      <c r="P362">
        <v>1495.684</v>
      </c>
      <c r="Q362" s="5">
        <f t="shared" si="17"/>
        <v>1497.95273793838</v>
      </c>
      <c r="T362" s="19"/>
      <c r="U362" s="19">
        <v>234.79</v>
      </c>
      <c r="V362" s="19"/>
      <c r="W362" s="19">
        <f t="shared" si="32"/>
        <v>355541.074977594</v>
      </c>
      <c r="X362" s="19">
        <f t="shared" si="33"/>
        <v>355704.854</v>
      </c>
      <c r="Y362" s="19"/>
    </row>
    <row r="363" ht="14.25" customHeight="1" spans="1:25">
      <c r="A363" s="10" t="s">
        <v>388</v>
      </c>
      <c r="B363">
        <v>1.422</v>
      </c>
      <c r="C363">
        <v>1.211</v>
      </c>
      <c r="D363">
        <v>1</v>
      </c>
      <c r="E363">
        <v>205</v>
      </c>
      <c r="F363">
        <v>44</v>
      </c>
      <c r="G363">
        <v>39</v>
      </c>
      <c r="H363" s="5">
        <f t="shared" si="0"/>
        <v>205.744166666667</v>
      </c>
      <c r="I363">
        <v>87</v>
      </c>
      <c r="J363">
        <v>48</v>
      </c>
      <c r="K363">
        <v>52</v>
      </c>
      <c r="L363" s="5">
        <f t="shared" si="1"/>
        <v>87.8144444444444</v>
      </c>
      <c r="M363" s="5">
        <f t="shared" si="28"/>
        <v>42.1386265924651</v>
      </c>
      <c r="N363" s="5">
        <f t="shared" si="29"/>
        <v>1.60816389177826</v>
      </c>
      <c r="O363">
        <v>1.58</v>
      </c>
      <c r="P363">
        <v>1495.684</v>
      </c>
      <c r="Q363" s="5">
        <f t="shared" si="17"/>
        <v>1497.66116389178</v>
      </c>
      <c r="T363" s="19"/>
      <c r="U363" s="19">
        <v>235.79</v>
      </c>
      <c r="V363" s="19"/>
      <c r="W363" s="19">
        <f t="shared" si="32"/>
        <v>355534.707182935</v>
      </c>
      <c r="X363" s="19">
        <f t="shared" si="33"/>
        <v>355704.854</v>
      </c>
      <c r="Y363" s="19"/>
    </row>
    <row r="364" ht="14.25" customHeight="1" spans="1:25">
      <c r="A364" s="10" t="s">
        <v>389</v>
      </c>
      <c r="B364">
        <v>1.04</v>
      </c>
      <c r="C364">
        <v>1.02</v>
      </c>
      <c r="D364">
        <v>1</v>
      </c>
      <c r="E364">
        <v>8</v>
      </c>
      <c r="F364">
        <v>39</v>
      </c>
      <c r="G364">
        <v>17</v>
      </c>
      <c r="H364" s="5">
        <f t="shared" si="0"/>
        <v>8.65472222222222</v>
      </c>
      <c r="I364">
        <v>99</v>
      </c>
      <c r="J364">
        <v>7</v>
      </c>
      <c r="K364">
        <v>26</v>
      </c>
      <c r="L364" s="5">
        <f t="shared" si="1"/>
        <v>99.1238888888889</v>
      </c>
      <c r="M364" s="5">
        <f t="shared" si="28"/>
        <v>3.89942254315078</v>
      </c>
      <c r="N364" s="5">
        <f t="shared" si="29"/>
        <v>-0.626253944155739</v>
      </c>
      <c r="O364">
        <v>1.58</v>
      </c>
      <c r="P364">
        <v>1495.684</v>
      </c>
      <c r="Q364" s="5">
        <f t="shared" si="17"/>
        <v>1495.61774605584</v>
      </c>
      <c r="T364" s="19"/>
      <c r="U364" s="19">
        <v>236.79</v>
      </c>
      <c r="V364" s="19"/>
      <c r="W364" s="19">
        <f t="shared" si="32"/>
        <v>355697.612864522</v>
      </c>
      <c r="X364" s="19">
        <f t="shared" si="33"/>
        <v>355704.854</v>
      </c>
      <c r="Y364" s="19"/>
    </row>
    <row r="365" ht="14.25" customHeight="1" spans="1:25">
      <c r="A365" s="10" t="s">
        <v>390</v>
      </c>
      <c r="B365">
        <v>1.048</v>
      </c>
      <c r="C365">
        <v>1.024</v>
      </c>
      <c r="D365">
        <v>1</v>
      </c>
      <c r="E365">
        <v>40</v>
      </c>
      <c r="F365">
        <v>37</v>
      </c>
      <c r="G365">
        <v>7</v>
      </c>
      <c r="H365" s="5">
        <f t="shared" si="0"/>
        <v>40.6186111111111</v>
      </c>
      <c r="I365">
        <v>95</v>
      </c>
      <c r="J365">
        <v>54</v>
      </c>
      <c r="K365">
        <v>43</v>
      </c>
      <c r="L365" s="5">
        <f t="shared" si="1"/>
        <v>95.9119444444444</v>
      </c>
      <c r="M365" s="5">
        <f t="shared" si="28"/>
        <v>4.74907689874957</v>
      </c>
      <c r="N365" s="5">
        <f t="shared" si="29"/>
        <v>-0.491769990708167</v>
      </c>
      <c r="O365">
        <v>1.58</v>
      </c>
      <c r="P365">
        <v>1495.684</v>
      </c>
      <c r="Q365" s="5">
        <f t="shared" si="17"/>
        <v>1495.74823000929</v>
      </c>
      <c r="T365" s="19"/>
      <c r="U365" s="19">
        <v>237.79</v>
      </c>
      <c r="V365" s="19"/>
      <c r="W365" s="19">
        <f t="shared" si="32"/>
        <v>355670.486587084</v>
      </c>
      <c r="X365" s="19">
        <f t="shared" si="33"/>
        <v>355704.854</v>
      </c>
      <c r="Y365" s="19"/>
    </row>
    <row r="366" ht="14.25" customHeight="1" spans="1:25">
      <c r="A366" s="10" t="s">
        <v>391</v>
      </c>
      <c r="B366">
        <v>1.032</v>
      </c>
      <c r="C366">
        <v>1.016</v>
      </c>
      <c r="D366">
        <v>1</v>
      </c>
      <c r="E366">
        <v>63</v>
      </c>
      <c r="F366">
        <v>47</v>
      </c>
      <c r="G366">
        <v>13</v>
      </c>
      <c r="H366" s="5">
        <f t="shared" si="0"/>
        <v>63.7869444444444</v>
      </c>
      <c r="I366">
        <v>99</v>
      </c>
      <c r="J366">
        <v>17</v>
      </c>
      <c r="K366">
        <v>58</v>
      </c>
      <c r="L366" s="5">
        <f t="shared" si="1"/>
        <v>99.2994444444444</v>
      </c>
      <c r="M366" s="5">
        <f t="shared" si="28"/>
        <v>3.11643935242376</v>
      </c>
      <c r="N366" s="5">
        <f t="shared" si="29"/>
        <v>-0.510305487351085</v>
      </c>
      <c r="O366">
        <v>1.58</v>
      </c>
      <c r="P366">
        <v>1495.684</v>
      </c>
      <c r="Q366" s="5">
        <f t="shared" si="17"/>
        <v>1495.73769451265</v>
      </c>
      <c r="T366" s="19"/>
      <c r="U366" s="19">
        <v>238.79</v>
      </c>
      <c r="V366" s="19"/>
      <c r="W366" s="19">
        <f t="shared" si="32"/>
        <v>355650.298695425</v>
      </c>
      <c r="X366" s="19">
        <f t="shared" si="33"/>
        <v>355704.854</v>
      </c>
      <c r="Y366" s="19"/>
    </row>
    <row r="367" ht="14.25" customHeight="1" spans="1:25">
      <c r="A367" s="10" t="s">
        <v>392</v>
      </c>
      <c r="B367">
        <v>1.05</v>
      </c>
      <c r="C367">
        <v>1.025</v>
      </c>
      <c r="D367">
        <v>1</v>
      </c>
      <c r="E367">
        <v>72</v>
      </c>
      <c r="F367">
        <v>44</v>
      </c>
      <c r="G367">
        <v>47</v>
      </c>
      <c r="H367" s="5">
        <f t="shared" si="0"/>
        <v>72.7463888888889</v>
      </c>
      <c r="I367">
        <v>109</v>
      </c>
      <c r="J367">
        <v>59</v>
      </c>
      <c r="K367">
        <v>0</v>
      </c>
      <c r="L367" s="5">
        <f t="shared" si="1"/>
        <v>109.983333333333</v>
      </c>
      <c r="M367" s="5">
        <f t="shared" si="28"/>
        <v>4.4160456803285</v>
      </c>
      <c r="N367" s="5">
        <f t="shared" si="29"/>
        <v>-1.6058545858497</v>
      </c>
      <c r="O367">
        <v>1.58</v>
      </c>
      <c r="P367">
        <v>1495.684</v>
      </c>
      <c r="Q367" s="5">
        <f t="shared" si="17"/>
        <v>1494.63314541415</v>
      </c>
      <c r="T367" s="19"/>
      <c r="U367" s="19">
        <v>239.79</v>
      </c>
      <c r="V367" s="19"/>
      <c r="W367" s="19">
        <f t="shared" si="32"/>
        <v>355641.987516751</v>
      </c>
      <c r="X367" s="19">
        <f t="shared" si="33"/>
        <v>355704.854</v>
      </c>
      <c r="Y367" s="19"/>
    </row>
    <row r="368" ht="14.25" customHeight="1" spans="1:25">
      <c r="A368" s="10" t="s">
        <v>393</v>
      </c>
      <c r="B368">
        <v>1.06</v>
      </c>
      <c r="C368">
        <v>1.03</v>
      </c>
      <c r="D368">
        <v>1</v>
      </c>
      <c r="E368">
        <v>53</v>
      </c>
      <c r="F368">
        <v>22</v>
      </c>
      <c r="G368">
        <v>45</v>
      </c>
      <c r="H368" s="5">
        <f t="shared" si="0"/>
        <v>53.3791666666667</v>
      </c>
      <c r="I368">
        <v>106</v>
      </c>
      <c r="J368">
        <v>4</v>
      </c>
      <c r="K368">
        <v>32</v>
      </c>
      <c r="L368" s="5">
        <f t="shared" si="1"/>
        <v>106.075555555556</v>
      </c>
      <c r="M368" s="5">
        <f t="shared" si="28"/>
        <v>5.53994263942473</v>
      </c>
      <c r="N368" s="5">
        <f t="shared" si="29"/>
        <v>-1.59646214750997</v>
      </c>
      <c r="O368">
        <v>1.58</v>
      </c>
      <c r="P368">
        <v>1495.684</v>
      </c>
      <c r="Q368" s="5">
        <f t="shared" si="17"/>
        <v>1494.63753785249</v>
      </c>
      <c r="T368" s="19"/>
      <c r="U368" s="19">
        <v>240.79</v>
      </c>
      <c r="V368" s="19"/>
      <c r="W368" s="19">
        <f t="shared" si="32"/>
        <v>355658.262692752</v>
      </c>
      <c r="X368" s="19">
        <f t="shared" si="33"/>
        <v>355704.854</v>
      </c>
      <c r="Y368" s="19"/>
    </row>
    <row r="369" ht="14.25" customHeight="1" spans="1:25">
      <c r="A369" s="10" t="s">
        <v>394</v>
      </c>
      <c r="B369">
        <v>1.085</v>
      </c>
      <c r="C369">
        <v>1.043</v>
      </c>
      <c r="D369">
        <v>1</v>
      </c>
      <c r="E369">
        <v>65</v>
      </c>
      <c r="F369">
        <v>58</v>
      </c>
      <c r="G369">
        <v>49</v>
      </c>
      <c r="H369" s="5">
        <f t="shared" si="0"/>
        <v>65.9802777777778</v>
      </c>
      <c r="I369">
        <v>109</v>
      </c>
      <c r="J369">
        <v>47</v>
      </c>
      <c r="K369">
        <v>22</v>
      </c>
      <c r="L369" s="5">
        <f t="shared" si="1"/>
        <v>109.789444444444</v>
      </c>
      <c r="M369" s="5">
        <f t="shared" si="28"/>
        <v>7.52567923242955</v>
      </c>
      <c r="N369" s="5">
        <f t="shared" si="29"/>
        <v>-2.70784518874875</v>
      </c>
      <c r="O369">
        <v>1.58</v>
      </c>
      <c r="P369">
        <v>1495.684</v>
      </c>
      <c r="Q369" s="5">
        <f t="shared" si="17"/>
        <v>1493.51315481125</v>
      </c>
      <c r="T369" s="19"/>
      <c r="U369" s="19">
        <v>241.79</v>
      </c>
      <c r="V369" s="19"/>
      <c r="W369" s="19">
        <f t="shared" si="32"/>
        <v>355646.710796062</v>
      </c>
      <c r="X369" s="19">
        <f t="shared" si="33"/>
        <v>355704.854</v>
      </c>
      <c r="Y369" s="19"/>
    </row>
    <row r="370" ht="14.25" customHeight="1" spans="1:25">
      <c r="A370" s="10" t="s">
        <v>395</v>
      </c>
      <c r="B370">
        <v>1.078</v>
      </c>
      <c r="C370">
        <v>1.038</v>
      </c>
      <c r="D370">
        <v>1</v>
      </c>
      <c r="E370">
        <v>81</v>
      </c>
      <c r="F370">
        <v>16</v>
      </c>
      <c r="G370">
        <v>22</v>
      </c>
      <c r="H370" s="5">
        <f t="shared" si="0"/>
        <v>81.2727777777778</v>
      </c>
      <c r="I370">
        <v>112</v>
      </c>
      <c r="J370">
        <v>5</v>
      </c>
      <c r="K370">
        <v>52</v>
      </c>
      <c r="L370" s="5">
        <f t="shared" si="1"/>
        <v>112.097777777778</v>
      </c>
      <c r="M370" s="5">
        <f t="shared" si="28"/>
        <v>6.6961622704171</v>
      </c>
      <c r="N370" s="5">
        <f t="shared" si="29"/>
        <v>-2.71872701047677</v>
      </c>
      <c r="O370">
        <v>1.58</v>
      </c>
      <c r="P370">
        <v>1495.684</v>
      </c>
      <c r="Q370" s="5">
        <f t="shared" si="17"/>
        <v>1493.50727298952</v>
      </c>
      <c r="T370" s="19"/>
      <c r="U370" s="19">
        <v>242.79</v>
      </c>
      <c r="V370" s="19"/>
      <c r="W370" s="19">
        <f t="shared" si="32"/>
        <v>355632.575145654</v>
      </c>
      <c r="X370" s="19">
        <f t="shared" si="33"/>
        <v>355704.854</v>
      </c>
      <c r="Y370" s="19"/>
    </row>
    <row r="371" ht="14.25" customHeight="1" spans="1:25">
      <c r="A371" s="10" t="s">
        <v>396</v>
      </c>
      <c r="B371">
        <v>1.123</v>
      </c>
      <c r="C371">
        <v>1.062</v>
      </c>
      <c r="D371">
        <v>1</v>
      </c>
      <c r="E371">
        <v>88</v>
      </c>
      <c r="F371">
        <v>37</v>
      </c>
      <c r="G371">
        <v>42</v>
      </c>
      <c r="H371" s="5">
        <f t="shared" si="0"/>
        <v>88.6283333333333</v>
      </c>
      <c r="I371">
        <v>104</v>
      </c>
      <c r="J371">
        <v>37</v>
      </c>
      <c r="K371">
        <v>26</v>
      </c>
      <c r="L371" s="5">
        <f t="shared" si="1"/>
        <v>104.623888888889</v>
      </c>
      <c r="M371" s="5">
        <f t="shared" si="28"/>
        <v>11.5159669894711</v>
      </c>
      <c r="N371" s="5">
        <f t="shared" si="29"/>
        <v>-3.00481251792966</v>
      </c>
      <c r="O371">
        <v>1.58</v>
      </c>
      <c r="P371">
        <v>1495.684</v>
      </c>
      <c r="Q371" s="5">
        <f t="shared" si="17"/>
        <v>1493.19718748207</v>
      </c>
      <c r="T371" s="19"/>
      <c r="U371" s="19">
        <v>243.79</v>
      </c>
      <c r="V371" s="19"/>
      <c r="W371" s="19">
        <f t="shared" si="32"/>
        <v>355625.338316777</v>
      </c>
      <c r="X371" s="19">
        <f t="shared" si="33"/>
        <v>355704.854</v>
      </c>
      <c r="Y371" s="19"/>
    </row>
    <row r="372" ht="14.25" customHeight="1" spans="1:25">
      <c r="A372" s="10" t="s">
        <v>397</v>
      </c>
      <c r="B372">
        <v>1.126</v>
      </c>
      <c r="C372">
        <v>1.063</v>
      </c>
      <c r="D372">
        <v>1</v>
      </c>
      <c r="E372">
        <v>78</v>
      </c>
      <c r="F372">
        <v>36</v>
      </c>
      <c r="G372">
        <v>25</v>
      </c>
      <c r="H372" s="5">
        <f t="shared" si="0"/>
        <v>78.6069444444444</v>
      </c>
      <c r="I372">
        <v>104</v>
      </c>
      <c r="J372">
        <v>5</v>
      </c>
      <c r="K372">
        <v>13</v>
      </c>
      <c r="L372" s="5">
        <f t="shared" si="1"/>
        <v>104.086944444444</v>
      </c>
      <c r="M372" s="5">
        <f t="shared" si="28"/>
        <v>11.8535678961336</v>
      </c>
      <c r="N372" s="5">
        <f t="shared" si="29"/>
        <v>-2.97453922869313</v>
      </c>
      <c r="O372">
        <v>1.58</v>
      </c>
      <c r="P372">
        <v>1495.684</v>
      </c>
      <c r="Q372" s="5">
        <f t="shared" si="17"/>
        <v>1493.22646077131</v>
      </c>
      <c r="T372" s="19"/>
      <c r="U372" s="19">
        <v>244.79</v>
      </c>
      <c r="V372" s="19"/>
      <c r="W372" s="19">
        <f t="shared" si="32"/>
        <v>355633.734152699</v>
      </c>
      <c r="X372" s="19">
        <f t="shared" si="33"/>
        <v>355704.854</v>
      </c>
      <c r="Y372" s="19"/>
    </row>
    <row r="373" ht="14.25" customHeight="1" spans="1:25">
      <c r="A373" s="10" t="s">
        <v>398</v>
      </c>
      <c r="B373">
        <v>1.172</v>
      </c>
      <c r="C373">
        <v>1.086</v>
      </c>
      <c r="D373">
        <v>1</v>
      </c>
      <c r="E373">
        <v>50</v>
      </c>
      <c r="F373">
        <v>56</v>
      </c>
      <c r="G373">
        <v>32</v>
      </c>
      <c r="H373" s="5">
        <f t="shared" si="0"/>
        <v>50.9422222222222</v>
      </c>
      <c r="I373">
        <v>99</v>
      </c>
      <c r="J373">
        <v>47</v>
      </c>
      <c r="K373">
        <v>16</v>
      </c>
      <c r="L373" s="5">
        <f t="shared" si="1"/>
        <v>99.7877777777778</v>
      </c>
      <c r="M373" s="5">
        <f t="shared" si="28"/>
        <v>16.7029241518755</v>
      </c>
      <c r="N373" s="5">
        <f t="shared" si="29"/>
        <v>-2.88142676272575</v>
      </c>
      <c r="O373">
        <v>1.58</v>
      </c>
      <c r="P373">
        <v>1495.684</v>
      </c>
      <c r="Q373" s="5">
        <f t="shared" si="17"/>
        <v>1493.29657323727</v>
      </c>
      <c r="T373" s="19"/>
      <c r="U373" s="19">
        <v>245.79</v>
      </c>
      <c r="V373" s="19"/>
      <c r="W373" s="19">
        <f t="shared" si="32"/>
        <v>355658.392219709</v>
      </c>
      <c r="X373" s="19">
        <f t="shared" si="33"/>
        <v>355704.854</v>
      </c>
      <c r="Y373" s="19"/>
    </row>
    <row r="374" ht="14.25" customHeight="1" spans="1:25">
      <c r="A374" s="10" t="s">
        <v>399</v>
      </c>
      <c r="B374">
        <v>1.248</v>
      </c>
      <c r="C374">
        <v>1.124</v>
      </c>
      <c r="D374">
        <v>1</v>
      </c>
      <c r="E374">
        <v>34</v>
      </c>
      <c r="F374">
        <v>7</v>
      </c>
      <c r="G374">
        <v>14</v>
      </c>
      <c r="H374" s="5">
        <f t="shared" si="0"/>
        <v>34.1205555555556</v>
      </c>
      <c r="I374">
        <v>95</v>
      </c>
      <c r="J374">
        <v>21</v>
      </c>
      <c r="K374">
        <v>18</v>
      </c>
      <c r="L374" s="5">
        <f t="shared" si="1"/>
        <v>95.355</v>
      </c>
      <c r="M374" s="5">
        <f t="shared" si="28"/>
        <v>24.5839966703389</v>
      </c>
      <c r="N374" s="5">
        <f t="shared" si="29"/>
        <v>-2.30439257444776</v>
      </c>
      <c r="O374">
        <v>1.58</v>
      </c>
      <c r="P374">
        <v>1495.684</v>
      </c>
      <c r="Q374" s="5">
        <f t="shared" si="17"/>
        <v>1493.83560742555</v>
      </c>
      <c r="T374" s="19"/>
      <c r="U374" s="19">
        <v>246.79</v>
      </c>
      <c r="V374" s="19"/>
      <c r="W374" s="19">
        <f t="shared" si="32"/>
        <v>355673.494938051</v>
      </c>
      <c r="X374" s="19">
        <f t="shared" si="33"/>
        <v>355704.854</v>
      </c>
      <c r="Y374" s="19"/>
    </row>
    <row r="375" ht="14.25" customHeight="1" spans="1:25">
      <c r="A375" s="10" t="s">
        <v>400</v>
      </c>
      <c r="B375">
        <v>1.228</v>
      </c>
      <c r="C375">
        <v>1.114</v>
      </c>
      <c r="D375">
        <v>1</v>
      </c>
      <c r="E375">
        <v>27</v>
      </c>
      <c r="F375">
        <v>9</v>
      </c>
      <c r="G375">
        <v>32</v>
      </c>
      <c r="H375" s="5">
        <f t="shared" si="0"/>
        <v>27.1588888888889</v>
      </c>
      <c r="I375">
        <v>95</v>
      </c>
      <c r="J375">
        <v>7</v>
      </c>
      <c r="K375">
        <v>20</v>
      </c>
      <c r="L375" s="5">
        <f t="shared" si="1"/>
        <v>95.1222222222222</v>
      </c>
      <c r="M375" s="5">
        <f t="shared" si="28"/>
        <v>22.6182605948135</v>
      </c>
      <c r="N375" s="5">
        <f t="shared" si="29"/>
        <v>-2.02746867469147</v>
      </c>
      <c r="O375">
        <v>1.58</v>
      </c>
      <c r="P375">
        <v>1495.684</v>
      </c>
      <c r="Q375" s="5">
        <f t="shared" si="17"/>
        <v>1494.12253132531</v>
      </c>
      <c r="T375" s="19"/>
      <c r="U375" s="19">
        <v>247.79</v>
      </c>
      <c r="V375" s="19"/>
      <c r="W375" s="19">
        <f t="shared" si="32"/>
        <v>355679.71017505</v>
      </c>
      <c r="X375" s="19">
        <f t="shared" si="33"/>
        <v>355704.854</v>
      </c>
      <c r="Y375" s="19"/>
    </row>
    <row r="376" ht="14.25" customHeight="1" spans="1:25">
      <c r="A376" s="10" t="s">
        <v>401</v>
      </c>
      <c r="B376">
        <v>0.624</v>
      </c>
      <c r="C376">
        <v>0.512</v>
      </c>
      <c r="D376">
        <v>1</v>
      </c>
      <c r="E376">
        <v>22</v>
      </c>
      <c r="F376">
        <v>21</v>
      </c>
      <c r="G376">
        <v>44</v>
      </c>
      <c r="H376" s="5">
        <f t="shared" si="0"/>
        <v>22.3622222222222</v>
      </c>
      <c r="I376">
        <v>94</v>
      </c>
      <c r="J376">
        <v>50</v>
      </c>
      <c r="K376">
        <v>26</v>
      </c>
      <c r="L376" s="5">
        <f t="shared" si="1"/>
        <v>94.8405555555556</v>
      </c>
      <c r="M376" s="5">
        <f t="shared" si="28"/>
        <v>-37.332268485089</v>
      </c>
      <c r="N376" s="5">
        <f t="shared" si="29"/>
        <v>3.16149091356879</v>
      </c>
      <c r="O376">
        <v>1.58</v>
      </c>
      <c r="P376">
        <v>1495.684</v>
      </c>
      <c r="Q376" s="5">
        <f t="shared" si="17"/>
        <v>1499.91349091357</v>
      </c>
      <c r="T376" s="19"/>
      <c r="U376" s="19">
        <v>248.79</v>
      </c>
      <c r="V376" s="19"/>
      <c r="W376" s="19">
        <f t="shared" si="32"/>
        <v>355684.006579688</v>
      </c>
      <c r="X376" s="19">
        <f t="shared" si="33"/>
        <v>355704.854</v>
      </c>
      <c r="Y376" s="19"/>
    </row>
    <row r="377" ht="14.25" customHeight="1" spans="1:25">
      <c r="A377" s="10" t="s">
        <v>402</v>
      </c>
      <c r="B377">
        <v>1.14</v>
      </c>
      <c r="C377">
        <v>1.07</v>
      </c>
      <c r="D377">
        <v>1</v>
      </c>
      <c r="E377">
        <v>27</v>
      </c>
      <c r="F377">
        <v>51</v>
      </c>
      <c r="G377">
        <v>28</v>
      </c>
      <c r="H377" s="5">
        <f t="shared" si="0"/>
        <v>27.8577777777778</v>
      </c>
      <c r="I377">
        <v>97</v>
      </c>
      <c r="J377">
        <v>38</v>
      </c>
      <c r="K377">
        <v>55</v>
      </c>
      <c r="L377" s="5">
        <f t="shared" si="1"/>
        <v>97.6486111111111</v>
      </c>
      <c r="M377" s="5">
        <f t="shared" si="28"/>
        <v>13.7519914717548</v>
      </c>
      <c r="N377" s="5">
        <f t="shared" si="29"/>
        <v>-1.8467840061441</v>
      </c>
      <c r="O377">
        <v>1.58</v>
      </c>
      <c r="P377">
        <v>1495.684</v>
      </c>
      <c r="Q377" s="5">
        <f t="shared" si="17"/>
        <v>1494.34721599386</v>
      </c>
      <c r="T377" s="19"/>
      <c r="U377" s="19">
        <v>249.79</v>
      </c>
      <c r="V377" s="19"/>
      <c r="W377" s="19">
        <f t="shared" si="32"/>
        <v>355678.711349193</v>
      </c>
      <c r="X377" s="19">
        <f t="shared" si="33"/>
        <v>355704.854</v>
      </c>
      <c r="Y377" s="19"/>
    </row>
    <row r="378" ht="14.25" customHeight="1" spans="1:25">
      <c r="A378" s="10" t="s">
        <v>403</v>
      </c>
      <c r="B378">
        <v>1.148</v>
      </c>
      <c r="C378">
        <v>1.074</v>
      </c>
      <c r="D378">
        <v>1</v>
      </c>
      <c r="E378">
        <v>23</v>
      </c>
      <c r="F378">
        <v>36</v>
      </c>
      <c r="G378">
        <v>46</v>
      </c>
      <c r="H378" s="5">
        <f t="shared" si="0"/>
        <v>23.6127777777778</v>
      </c>
      <c r="I378">
        <v>94</v>
      </c>
      <c r="J378">
        <v>6</v>
      </c>
      <c r="K378">
        <v>48</v>
      </c>
      <c r="L378" s="5">
        <f t="shared" si="1"/>
        <v>94.1133333333333</v>
      </c>
      <c r="M378" s="5">
        <f t="shared" si="28"/>
        <v>14.7238520847989</v>
      </c>
      <c r="N378" s="5">
        <f t="shared" si="29"/>
        <v>-1.05886289952305</v>
      </c>
      <c r="O378">
        <v>1.58</v>
      </c>
      <c r="P378">
        <v>1495.684</v>
      </c>
      <c r="Q378" s="5">
        <f t="shared" si="17"/>
        <v>1495.13113710048</v>
      </c>
      <c r="T378" s="19"/>
      <c r="U378" s="19">
        <v>250.79</v>
      </c>
      <c r="V378" s="19"/>
      <c r="W378" s="19">
        <f t="shared" si="32"/>
        <v>355682.556006294</v>
      </c>
      <c r="X378" s="19">
        <f t="shared" si="33"/>
        <v>355704.854</v>
      </c>
      <c r="Y378" s="19"/>
    </row>
    <row r="379" ht="14.25" customHeight="1" spans="1:25">
      <c r="A379" s="10" t="s">
        <v>404</v>
      </c>
      <c r="B379">
        <v>1.128</v>
      </c>
      <c r="C379">
        <v>1.064</v>
      </c>
      <c r="D379">
        <v>1</v>
      </c>
      <c r="E379">
        <v>138</v>
      </c>
      <c r="F379">
        <v>37</v>
      </c>
      <c r="G379">
        <v>51</v>
      </c>
      <c r="H379" s="5">
        <f t="shared" si="0"/>
        <v>138.630833333333</v>
      </c>
      <c r="I379">
        <v>103</v>
      </c>
      <c r="J379">
        <v>36</v>
      </c>
      <c r="K379">
        <v>0</v>
      </c>
      <c r="L379" s="5">
        <f t="shared" si="1"/>
        <v>103.6</v>
      </c>
      <c r="M379" s="5">
        <f t="shared" si="28"/>
        <v>12.0922647890643</v>
      </c>
      <c r="N379" s="5">
        <f t="shared" si="29"/>
        <v>-2.92542673317564</v>
      </c>
      <c r="O379">
        <v>1.58</v>
      </c>
      <c r="P379">
        <v>1495.684</v>
      </c>
      <c r="Q379" s="5">
        <f t="shared" si="17"/>
        <v>1493.27457326682</v>
      </c>
      <c r="T379" s="19"/>
      <c r="U379" s="19">
        <v>251.79</v>
      </c>
      <c r="V379" s="19"/>
      <c r="W379" s="19">
        <f t="shared" si="32"/>
        <v>355573.166141979</v>
      </c>
      <c r="X379" s="19">
        <f t="shared" si="33"/>
        <v>355704.854</v>
      </c>
      <c r="Y379" s="19"/>
    </row>
    <row r="380" ht="14.25" customHeight="1" spans="1:25">
      <c r="A380" s="10" t="s">
        <v>405</v>
      </c>
      <c r="B380">
        <v>1.222</v>
      </c>
      <c r="C380">
        <v>1.111</v>
      </c>
      <c r="D380">
        <v>1</v>
      </c>
      <c r="E380">
        <v>159</v>
      </c>
      <c r="F380">
        <v>19</v>
      </c>
      <c r="G380">
        <v>29</v>
      </c>
      <c r="H380" s="5">
        <f t="shared" si="0"/>
        <v>159.324722222222</v>
      </c>
      <c r="I380">
        <v>97</v>
      </c>
      <c r="J380">
        <v>21</v>
      </c>
      <c r="K380">
        <v>11</v>
      </c>
      <c r="L380" s="5">
        <f t="shared" si="1"/>
        <v>97.3530555555556</v>
      </c>
      <c r="M380" s="5">
        <f t="shared" si="28"/>
        <v>21.8363715669025</v>
      </c>
      <c r="N380" s="5">
        <f t="shared" si="29"/>
        <v>-2.817858331678</v>
      </c>
      <c r="O380">
        <v>1.58</v>
      </c>
      <c r="P380">
        <v>1495.684</v>
      </c>
      <c r="Q380" s="5">
        <f t="shared" si="17"/>
        <v>1493.33514166832</v>
      </c>
      <c r="T380" s="19"/>
      <c r="U380" s="19">
        <v>252.79</v>
      </c>
      <c r="V380" s="19"/>
      <c r="W380" s="19">
        <f t="shared" si="32"/>
        <v>355552.662765476</v>
      </c>
      <c r="X380" s="19">
        <f t="shared" si="33"/>
        <v>355704.854</v>
      </c>
      <c r="Y380" s="19"/>
    </row>
    <row r="381" ht="14.25" customHeight="1" spans="1:25">
      <c r="A381" s="10" t="s">
        <v>406</v>
      </c>
      <c r="B381">
        <v>1.306</v>
      </c>
      <c r="C381">
        <v>1.153</v>
      </c>
      <c r="D381">
        <v>1</v>
      </c>
      <c r="E381">
        <v>167</v>
      </c>
      <c r="F381">
        <v>2</v>
      </c>
      <c r="G381">
        <v>1</v>
      </c>
      <c r="H381" s="5">
        <f t="shared" si="0"/>
        <v>167.033611111111</v>
      </c>
      <c r="I381">
        <v>94</v>
      </c>
      <c r="J381">
        <v>53</v>
      </c>
      <c r="K381">
        <v>47</v>
      </c>
      <c r="L381" s="5">
        <f t="shared" si="1"/>
        <v>94.8963888888889</v>
      </c>
      <c r="M381" s="5">
        <f t="shared" si="28"/>
        <v>30.3770689911571</v>
      </c>
      <c r="N381" s="5">
        <f t="shared" si="29"/>
        <v>-2.60230486989667</v>
      </c>
      <c r="O381">
        <v>1.58</v>
      </c>
      <c r="P381">
        <v>1495.684</v>
      </c>
      <c r="Q381" s="5">
        <f t="shared" si="17"/>
        <v>1493.5086951301</v>
      </c>
      <c r="T381" s="19"/>
      <c r="U381" s="19">
        <v>253.79</v>
      </c>
      <c r="V381" s="19"/>
      <c r="W381" s="19">
        <f t="shared" si="32"/>
        <v>355544.46081376</v>
      </c>
      <c r="X381" s="19">
        <f t="shared" si="33"/>
        <v>355704.854</v>
      </c>
      <c r="Y381" s="19"/>
    </row>
    <row r="382" ht="14.25" customHeight="1" spans="1:25">
      <c r="A382" s="10" t="s">
        <v>407</v>
      </c>
      <c r="B382">
        <v>1.29</v>
      </c>
      <c r="C382">
        <v>1.145</v>
      </c>
      <c r="D382">
        <v>1</v>
      </c>
      <c r="E382">
        <v>186</v>
      </c>
      <c r="F382">
        <v>0</v>
      </c>
      <c r="G382">
        <v>40</v>
      </c>
      <c r="H382" s="5">
        <f t="shared" si="0"/>
        <v>186.011111111111</v>
      </c>
      <c r="I382">
        <v>92</v>
      </c>
      <c r="J382">
        <v>7</v>
      </c>
      <c r="K382">
        <v>57</v>
      </c>
      <c r="L382" s="5">
        <f t="shared" si="1"/>
        <v>92.1325</v>
      </c>
      <c r="M382" s="5">
        <f t="shared" si="28"/>
        <v>28.9598458658232</v>
      </c>
      <c r="N382" s="5">
        <f t="shared" si="29"/>
        <v>-1.07835872354015</v>
      </c>
      <c r="O382">
        <v>1.58</v>
      </c>
      <c r="P382">
        <v>1495.684</v>
      </c>
      <c r="Q382" s="5">
        <f t="shared" si="17"/>
        <v>1495.04064127646</v>
      </c>
      <c r="T382" s="19"/>
      <c r="U382" s="19">
        <v>254.79</v>
      </c>
      <c r="V382" s="19"/>
      <c r="W382" s="19">
        <f t="shared" si="32"/>
        <v>355525.358724317</v>
      </c>
      <c r="X382" s="19">
        <f t="shared" si="33"/>
        <v>355704.854</v>
      </c>
      <c r="Y382" s="19"/>
    </row>
    <row r="383" ht="14.25" customHeight="1" spans="1:25">
      <c r="A383" s="10" t="s">
        <v>408</v>
      </c>
      <c r="B383">
        <v>1.282</v>
      </c>
      <c r="C383">
        <v>1.141</v>
      </c>
      <c r="D383">
        <v>1</v>
      </c>
      <c r="E383">
        <v>190</v>
      </c>
      <c r="F383">
        <v>35</v>
      </c>
      <c r="G383">
        <v>43</v>
      </c>
      <c r="H383" s="5">
        <f t="shared" si="0"/>
        <v>190.595277777778</v>
      </c>
      <c r="I383">
        <v>14</v>
      </c>
      <c r="J383">
        <v>32</v>
      </c>
      <c r="K383">
        <v>1</v>
      </c>
      <c r="L383" s="5">
        <f t="shared" si="1"/>
        <v>14.5336111111111</v>
      </c>
      <c r="M383" s="5">
        <f t="shared" si="28"/>
        <v>1.77589072978098</v>
      </c>
      <c r="N383" s="5">
        <f t="shared" si="29"/>
        <v>6.85027960711836</v>
      </c>
      <c r="O383">
        <v>1.58</v>
      </c>
      <c r="P383">
        <v>1495.684</v>
      </c>
      <c r="Q383" s="5">
        <f t="shared" si="17"/>
        <v>1502.97327960712</v>
      </c>
      <c r="T383" s="19"/>
      <c r="U383" s="19">
        <v>255.79</v>
      </c>
      <c r="V383" s="19"/>
      <c r="W383" s="19">
        <f t="shared" si="32"/>
        <v>355520.090457221</v>
      </c>
      <c r="X383" s="19">
        <f t="shared" si="33"/>
        <v>355704.854</v>
      </c>
      <c r="Y383" s="19"/>
    </row>
    <row r="384" ht="14.25" customHeight="1" spans="1:25">
      <c r="A384" s="10" t="s">
        <v>409</v>
      </c>
      <c r="B384">
        <v>1.196</v>
      </c>
      <c r="C384">
        <v>1.098</v>
      </c>
      <c r="D384">
        <v>1</v>
      </c>
      <c r="E384">
        <v>185</v>
      </c>
      <c r="F384">
        <v>1</v>
      </c>
      <c r="G384">
        <v>46</v>
      </c>
      <c r="H384" s="5">
        <f t="shared" si="0"/>
        <v>185.029444444444</v>
      </c>
      <c r="I384">
        <v>96</v>
      </c>
      <c r="J384">
        <v>57</v>
      </c>
      <c r="K384">
        <v>2</v>
      </c>
      <c r="L384" s="5">
        <f t="shared" si="1"/>
        <v>96.9505555555556</v>
      </c>
      <c r="M384" s="5">
        <f t="shared" si="28"/>
        <v>19.3129758630676</v>
      </c>
      <c r="N384" s="5">
        <f t="shared" si="29"/>
        <v>-2.35441929755375</v>
      </c>
      <c r="O384">
        <v>1.58</v>
      </c>
      <c r="P384">
        <v>1495.684</v>
      </c>
      <c r="Q384" s="5">
        <f t="shared" si="17"/>
        <v>1493.81158070245</v>
      </c>
      <c r="T384" s="19"/>
      <c r="U384" s="19">
        <v>256.79</v>
      </c>
      <c r="V384" s="19"/>
      <c r="W384" s="19">
        <f t="shared" si="32"/>
        <v>355524.720613499</v>
      </c>
      <c r="X384" s="19">
        <f t="shared" si="33"/>
        <v>355704.854</v>
      </c>
      <c r="Y384" s="19"/>
    </row>
    <row r="385" ht="14.25" customHeight="1" spans="1:25">
      <c r="A385" s="10" t="s">
        <v>410</v>
      </c>
      <c r="B385">
        <v>1.199</v>
      </c>
      <c r="C385">
        <v>1.101</v>
      </c>
      <c r="D385">
        <v>1</v>
      </c>
      <c r="E385">
        <v>189</v>
      </c>
      <c r="F385">
        <v>54</v>
      </c>
      <c r="G385">
        <v>24</v>
      </c>
      <c r="H385" s="5">
        <f t="shared" si="0"/>
        <v>189.906666666667</v>
      </c>
      <c r="I385">
        <v>90</v>
      </c>
      <c r="J385">
        <v>24</v>
      </c>
      <c r="K385">
        <v>20</v>
      </c>
      <c r="L385" s="5">
        <f t="shared" si="1"/>
        <v>90.4055555555556</v>
      </c>
      <c r="M385" s="5">
        <f t="shared" si="28"/>
        <v>19.8990029859727</v>
      </c>
      <c r="N385" s="5">
        <f t="shared" si="29"/>
        <v>-0.140853062115343</v>
      </c>
      <c r="O385">
        <v>1.58</v>
      </c>
      <c r="P385">
        <v>1495.684</v>
      </c>
      <c r="Q385" s="5">
        <f t="shared" si="17"/>
        <v>1496.02214693788</v>
      </c>
      <c r="T385" s="19"/>
      <c r="U385" s="19">
        <v>257.79</v>
      </c>
      <c r="V385" s="19"/>
      <c r="W385" s="19">
        <f t="shared" si="32"/>
        <v>355519.243212726</v>
      </c>
      <c r="X385" s="19">
        <f t="shared" si="33"/>
        <v>355704.854</v>
      </c>
      <c r="Y385" s="19"/>
    </row>
    <row r="386" ht="14.25" customHeight="1" spans="1:25">
      <c r="A386" s="10" t="s">
        <v>411</v>
      </c>
      <c r="B386">
        <v>1.075</v>
      </c>
      <c r="C386">
        <v>1.038</v>
      </c>
      <c r="D386">
        <v>1</v>
      </c>
      <c r="E386">
        <v>166</v>
      </c>
      <c r="F386">
        <v>49</v>
      </c>
      <c r="G386">
        <v>52</v>
      </c>
      <c r="H386" s="5">
        <f t="shared" si="0"/>
        <v>166.831111111111</v>
      </c>
      <c r="I386">
        <v>102</v>
      </c>
      <c r="J386">
        <v>9</v>
      </c>
      <c r="K386">
        <v>14</v>
      </c>
      <c r="L386" s="5">
        <f t="shared" si="1"/>
        <v>102.153888888889</v>
      </c>
      <c r="M386" s="5">
        <f t="shared" si="28"/>
        <v>7.16755277271262</v>
      </c>
      <c r="N386" s="5">
        <f t="shared" si="29"/>
        <v>-1.54364278436569</v>
      </c>
      <c r="O386">
        <v>1.58</v>
      </c>
      <c r="P386">
        <v>1495.684</v>
      </c>
      <c r="Q386" s="5">
        <f t="shared" si="17"/>
        <v>1494.68235721563</v>
      </c>
      <c r="T386" s="19"/>
      <c r="U386" s="19">
        <v>258.79</v>
      </c>
      <c r="V386" s="19"/>
      <c r="W386" s="19">
        <f t="shared" ref="W386:W417" si="34">$S$353+(H386*SIN(U386*3.141592654/180))</f>
        <v>355541.205819579</v>
      </c>
      <c r="X386" s="19">
        <f t="shared" ref="X386:X417" si="35">$S$353+(I386*SIN(V386*3.141592654/180))</f>
        <v>355704.854</v>
      </c>
      <c r="Y386" s="19"/>
    </row>
    <row r="387" ht="14.25" customHeight="1" spans="1:25">
      <c r="A387" s="10" t="s">
        <v>412</v>
      </c>
      <c r="B387">
        <v>1.468</v>
      </c>
      <c r="C387">
        <v>1.434</v>
      </c>
      <c r="D387">
        <v>1.4</v>
      </c>
      <c r="E387">
        <v>180</v>
      </c>
      <c r="F387">
        <v>53</v>
      </c>
      <c r="G387">
        <v>26</v>
      </c>
      <c r="H387" s="5">
        <f t="shared" si="0"/>
        <v>180.890555555556</v>
      </c>
      <c r="I387">
        <v>90</v>
      </c>
      <c r="J387">
        <v>31</v>
      </c>
      <c r="K387">
        <v>45</v>
      </c>
      <c r="L387" s="5">
        <f t="shared" si="1"/>
        <v>90.5291666666667</v>
      </c>
      <c r="M387" s="5">
        <f t="shared" si="28"/>
        <v>6.79941998896253</v>
      </c>
      <c r="N387" s="5">
        <f t="shared" si="29"/>
        <v>-0.0627991930047786</v>
      </c>
      <c r="O387">
        <v>1.58</v>
      </c>
      <c r="P387">
        <v>1495.684</v>
      </c>
      <c r="Q387" s="5">
        <f t="shared" si="17"/>
        <v>1495.767200807</v>
      </c>
      <c r="T387" s="19"/>
      <c r="U387" s="19">
        <v>259.79</v>
      </c>
      <c r="V387" s="19"/>
      <c r="W387" s="19">
        <f t="shared" si="34"/>
        <v>355526.827903197</v>
      </c>
      <c r="X387" s="19">
        <f t="shared" si="35"/>
        <v>355704.854</v>
      </c>
      <c r="Y387" s="19"/>
    </row>
    <row r="388" ht="14.25" customHeight="1" spans="1:25">
      <c r="A388" s="10" t="s">
        <v>413</v>
      </c>
      <c r="B388">
        <v>1.1</v>
      </c>
      <c r="C388">
        <v>1.05</v>
      </c>
      <c r="D388">
        <v>1</v>
      </c>
      <c r="E388">
        <v>249</v>
      </c>
      <c r="F388">
        <v>5</v>
      </c>
      <c r="G388">
        <v>1</v>
      </c>
      <c r="H388" s="5">
        <f t="shared" si="0"/>
        <v>249.083611111111</v>
      </c>
      <c r="I388">
        <v>89</v>
      </c>
      <c r="J388">
        <v>43</v>
      </c>
      <c r="K388">
        <v>43</v>
      </c>
      <c r="L388" s="5">
        <f t="shared" si="1"/>
        <v>89.7286111111111</v>
      </c>
      <c r="M388" s="5">
        <f t="shared" si="28"/>
        <v>9.99977564507209</v>
      </c>
      <c r="N388" s="5">
        <f t="shared" si="29"/>
        <v>0.0473655881848122</v>
      </c>
      <c r="O388">
        <v>1.58</v>
      </c>
      <c r="P388">
        <v>1495.684</v>
      </c>
      <c r="Q388" s="5">
        <f t="shared" si="17"/>
        <v>1496.26136558818</v>
      </c>
      <c r="T388" s="19"/>
      <c r="U388" s="19">
        <v>260.79</v>
      </c>
      <c r="V388" s="19"/>
      <c r="W388" s="19">
        <f t="shared" si="34"/>
        <v>355458.98148872</v>
      </c>
      <c r="X388" s="19">
        <f t="shared" si="35"/>
        <v>355704.854</v>
      </c>
      <c r="Y388" s="19"/>
    </row>
    <row r="389" ht="14.25" customHeight="1" spans="1:25">
      <c r="A389" s="10" t="s">
        <v>414</v>
      </c>
      <c r="B389">
        <v>1.121</v>
      </c>
      <c r="C389">
        <v>1.061</v>
      </c>
      <c r="D389">
        <v>1</v>
      </c>
      <c r="E389">
        <v>331</v>
      </c>
      <c r="F389">
        <v>55</v>
      </c>
      <c r="G389">
        <v>13</v>
      </c>
      <c r="H389" s="5">
        <f t="shared" si="0"/>
        <v>331.920277777778</v>
      </c>
      <c r="I389">
        <v>92</v>
      </c>
      <c r="J389">
        <v>32</v>
      </c>
      <c r="K389">
        <v>51</v>
      </c>
      <c r="L389" s="5">
        <f t="shared" si="1"/>
        <v>92.5475</v>
      </c>
      <c r="M389" s="5">
        <f t="shared" si="28"/>
        <v>12.0760953556091</v>
      </c>
      <c r="N389" s="5">
        <f t="shared" si="29"/>
        <v>-0.537284622063495</v>
      </c>
      <c r="O389">
        <v>1.58</v>
      </c>
      <c r="P389">
        <v>1495.684</v>
      </c>
      <c r="Q389" s="5">
        <f t="shared" si="17"/>
        <v>1495.66571537794</v>
      </c>
      <c r="T389" s="19"/>
      <c r="U389" s="19">
        <v>261.79</v>
      </c>
      <c r="V389" s="19"/>
      <c r="W389" s="19">
        <f t="shared" si="34"/>
        <v>355376.335466114</v>
      </c>
      <c r="X389" s="19">
        <f t="shared" si="35"/>
        <v>355704.854</v>
      </c>
      <c r="Y389" s="19"/>
    </row>
    <row r="390" ht="14.25" customHeight="1" spans="1:25">
      <c r="A390" s="10" t="s">
        <v>415</v>
      </c>
      <c r="B390">
        <v>1.235</v>
      </c>
      <c r="C390">
        <v>1.118</v>
      </c>
      <c r="D390">
        <v>1</v>
      </c>
      <c r="E390">
        <v>356</v>
      </c>
      <c r="F390">
        <v>11</v>
      </c>
      <c r="G390">
        <v>33</v>
      </c>
      <c r="H390" s="5">
        <f t="shared" si="0"/>
        <v>356.1925</v>
      </c>
      <c r="I390">
        <v>91</v>
      </c>
      <c r="J390">
        <v>55</v>
      </c>
      <c r="K390">
        <v>34</v>
      </c>
      <c r="L390" s="5">
        <f t="shared" si="1"/>
        <v>91.9261111111111</v>
      </c>
      <c r="M390" s="5">
        <f t="shared" si="28"/>
        <v>23.4734526200554</v>
      </c>
      <c r="N390" s="5">
        <f t="shared" si="29"/>
        <v>-0.789403993729171</v>
      </c>
      <c r="O390">
        <v>1.58</v>
      </c>
      <c r="P390">
        <v>1495.684</v>
      </c>
      <c r="Q390" s="5">
        <f t="shared" si="17"/>
        <v>1495.35659600627</v>
      </c>
      <c r="T390" s="19"/>
      <c r="U390" s="19">
        <v>262.79</v>
      </c>
      <c r="V390" s="19"/>
      <c r="W390" s="19">
        <f t="shared" si="34"/>
        <v>355351.477981239</v>
      </c>
      <c r="X390" s="19">
        <f t="shared" si="35"/>
        <v>355704.854</v>
      </c>
      <c r="Y390" s="19"/>
    </row>
    <row r="391" ht="14.25" customHeight="1" spans="1:25">
      <c r="A391" s="10" t="s">
        <v>416</v>
      </c>
      <c r="B391">
        <v>1.226</v>
      </c>
      <c r="C391">
        <v>1.113</v>
      </c>
      <c r="D391">
        <v>1</v>
      </c>
      <c r="E391">
        <v>354</v>
      </c>
      <c r="F391">
        <v>35</v>
      </c>
      <c r="G391">
        <v>28</v>
      </c>
      <c r="H391" s="5">
        <f t="shared" si="0"/>
        <v>354.591111111111</v>
      </c>
      <c r="I391">
        <v>89</v>
      </c>
      <c r="J391">
        <v>32</v>
      </c>
      <c r="K391">
        <v>28</v>
      </c>
      <c r="L391" s="5">
        <f t="shared" si="1"/>
        <v>89.5411111111111</v>
      </c>
      <c r="M391" s="5">
        <f t="shared" si="28"/>
        <v>22.5985503305972</v>
      </c>
      <c r="N391" s="5">
        <f t="shared" si="29"/>
        <v>0.180998417017325</v>
      </c>
      <c r="O391">
        <v>1.58</v>
      </c>
      <c r="P391">
        <v>1495.684</v>
      </c>
      <c r="Q391" s="5">
        <f t="shared" si="17"/>
        <v>1496.33199841702</v>
      </c>
      <c r="T391" s="19"/>
      <c r="U391" s="19">
        <v>263.79</v>
      </c>
      <c r="V391" s="19"/>
      <c r="W391" s="19">
        <f t="shared" si="34"/>
        <v>355352.343594264</v>
      </c>
      <c r="X391" s="19">
        <f t="shared" si="35"/>
        <v>355704.854</v>
      </c>
      <c r="Y391" s="19"/>
    </row>
    <row r="392" ht="14.25" customHeight="1" spans="1:25">
      <c r="A392" s="10" t="s">
        <v>417</v>
      </c>
      <c r="B392">
        <v>1.142</v>
      </c>
      <c r="C392">
        <v>1.071</v>
      </c>
      <c r="D392">
        <v>1</v>
      </c>
      <c r="E392">
        <v>336</v>
      </c>
      <c r="F392">
        <v>38</v>
      </c>
      <c r="G392">
        <v>9</v>
      </c>
      <c r="H392" s="5">
        <f t="shared" si="0"/>
        <v>336.635833333333</v>
      </c>
      <c r="I392">
        <v>89</v>
      </c>
      <c r="J392">
        <v>0</v>
      </c>
      <c r="K392">
        <v>5</v>
      </c>
      <c r="L392" s="5">
        <f t="shared" si="1"/>
        <v>89.0013888888889</v>
      </c>
      <c r="M392" s="5">
        <f t="shared" si="28"/>
        <v>14.1956868765215</v>
      </c>
      <c r="N392" s="5">
        <f t="shared" si="29"/>
        <v>0.247442418271233</v>
      </c>
      <c r="O392">
        <v>1.58</v>
      </c>
      <c r="P392">
        <v>1495.684</v>
      </c>
      <c r="Q392" s="5">
        <f t="shared" si="17"/>
        <v>1496.44044241827</v>
      </c>
      <c r="T392" s="19"/>
      <c r="U392" s="19">
        <v>264.79</v>
      </c>
      <c r="V392" s="19"/>
      <c r="W392" s="19">
        <f t="shared" si="34"/>
        <v>355369.608955686</v>
      </c>
      <c r="X392" s="19">
        <f t="shared" si="35"/>
        <v>355704.854</v>
      </c>
      <c r="Y392" s="19"/>
    </row>
    <row r="393" ht="14.25" customHeight="1" spans="1:25">
      <c r="A393" s="10" t="s">
        <v>418</v>
      </c>
      <c r="B393">
        <v>1.1</v>
      </c>
      <c r="C393">
        <v>1.05</v>
      </c>
      <c r="D393">
        <v>1</v>
      </c>
      <c r="E393">
        <v>251</v>
      </c>
      <c r="F393">
        <v>57</v>
      </c>
      <c r="G393">
        <v>19</v>
      </c>
      <c r="H393" s="5">
        <f t="shared" si="0"/>
        <v>251.955277777778</v>
      </c>
      <c r="I393">
        <v>86</v>
      </c>
      <c r="J393">
        <v>58</v>
      </c>
      <c r="K393">
        <v>50</v>
      </c>
      <c r="L393" s="5">
        <f t="shared" si="1"/>
        <v>86.9805555555556</v>
      </c>
      <c r="M393" s="5">
        <f t="shared" si="28"/>
        <v>9.97225359365738</v>
      </c>
      <c r="N393" s="5">
        <f t="shared" si="29"/>
        <v>0.526017300439173</v>
      </c>
      <c r="O393">
        <v>1.58</v>
      </c>
      <c r="P393">
        <v>1495.684</v>
      </c>
      <c r="Q393" s="5">
        <f t="shared" si="17"/>
        <v>1496.74001730044</v>
      </c>
      <c r="T393" s="19"/>
      <c r="U393" s="19">
        <v>265.79</v>
      </c>
      <c r="V393" s="19"/>
      <c r="W393" s="19">
        <f t="shared" si="34"/>
        <v>355453.578578288</v>
      </c>
      <c r="X393" s="19">
        <f t="shared" si="35"/>
        <v>355704.854</v>
      </c>
      <c r="Y393" s="19"/>
    </row>
    <row r="394" ht="14.25" customHeight="1" spans="1:25">
      <c r="A394" s="10" t="s">
        <v>419</v>
      </c>
      <c r="B394">
        <v>1.108</v>
      </c>
      <c r="C394">
        <v>1.053</v>
      </c>
      <c r="D394">
        <v>1</v>
      </c>
      <c r="E394">
        <v>253</v>
      </c>
      <c r="F394">
        <v>3</v>
      </c>
      <c r="G394">
        <v>24</v>
      </c>
      <c r="H394" s="5">
        <f t="shared" si="0"/>
        <v>253.056666666667</v>
      </c>
      <c r="I394">
        <v>84</v>
      </c>
      <c r="J394">
        <v>29</v>
      </c>
      <c r="K394">
        <v>36</v>
      </c>
      <c r="L394" s="5">
        <f t="shared" si="1"/>
        <v>84.4933333333333</v>
      </c>
      <c r="M394" s="5">
        <f t="shared" si="28"/>
        <v>10.7005468694344</v>
      </c>
      <c r="N394" s="5">
        <f t="shared" si="29"/>
        <v>1.03160209622205</v>
      </c>
      <c r="O394">
        <v>1.58</v>
      </c>
      <c r="P394">
        <v>1495.684</v>
      </c>
      <c r="Q394" s="5">
        <f t="shared" si="17"/>
        <v>1497.24260209622</v>
      </c>
      <c r="T394" s="19"/>
      <c r="U394" s="19">
        <v>266.79</v>
      </c>
      <c r="V394" s="19"/>
      <c r="W394" s="19">
        <f t="shared" si="34"/>
        <v>355452.194377644</v>
      </c>
      <c r="X394" s="19">
        <f t="shared" si="35"/>
        <v>355704.854</v>
      </c>
      <c r="Y394" s="19"/>
    </row>
    <row r="395" ht="14.25" customHeight="1" spans="1:25">
      <c r="A395" s="10" t="s">
        <v>420</v>
      </c>
      <c r="B395">
        <v>1.15</v>
      </c>
      <c r="C395">
        <v>1.075</v>
      </c>
      <c r="D395">
        <v>1</v>
      </c>
      <c r="E395">
        <v>334</v>
      </c>
      <c r="F395">
        <v>36</v>
      </c>
      <c r="G395">
        <v>22</v>
      </c>
      <c r="H395" s="5">
        <f t="shared" si="0"/>
        <v>334.606111111111</v>
      </c>
      <c r="I395">
        <v>86</v>
      </c>
      <c r="J395">
        <v>51</v>
      </c>
      <c r="K395">
        <v>49</v>
      </c>
      <c r="L395" s="5">
        <f t="shared" si="1"/>
        <v>86.8636111111111</v>
      </c>
      <c r="M395" s="5">
        <f t="shared" si="28"/>
        <v>14.9550973496097</v>
      </c>
      <c r="N395" s="5">
        <f t="shared" si="29"/>
        <v>0.819465379282432</v>
      </c>
      <c r="O395">
        <v>1.58</v>
      </c>
      <c r="P395">
        <v>1495.684</v>
      </c>
      <c r="Q395" s="5">
        <f t="shared" si="17"/>
        <v>1497.00846537928</v>
      </c>
      <c r="T395" s="19"/>
      <c r="U395" s="19">
        <v>267.79</v>
      </c>
      <c r="V395" s="19"/>
      <c r="W395" s="19">
        <f t="shared" si="34"/>
        <v>355370.496768487</v>
      </c>
      <c r="X395" s="19">
        <f t="shared" si="35"/>
        <v>355704.854</v>
      </c>
      <c r="Y395" s="19"/>
    </row>
    <row r="396" ht="14.25" customHeight="1" spans="1:25">
      <c r="A396" s="10" t="s">
        <v>421</v>
      </c>
      <c r="B396">
        <v>1.226</v>
      </c>
      <c r="C396">
        <v>1.113</v>
      </c>
      <c r="D396">
        <v>1</v>
      </c>
      <c r="E396">
        <v>351</v>
      </c>
      <c r="F396">
        <v>18</v>
      </c>
      <c r="G396">
        <v>19</v>
      </c>
      <c r="H396" s="5">
        <f t="shared" si="0"/>
        <v>351.305277777778</v>
      </c>
      <c r="I396">
        <v>87</v>
      </c>
      <c r="J396">
        <v>52</v>
      </c>
      <c r="K396">
        <v>58</v>
      </c>
      <c r="L396" s="5">
        <f t="shared" si="1"/>
        <v>87.8827777777778</v>
      </c>
      <c r="M396" s="5">
        <f t="shared" si="28"/>
        <v>22.5691540338149</v>
      </c>
      <c r="N396" s="5">
        <f t="shared" si="29"/>
        <v>0.834366443568058</v>
      </c>
      <c r="O396">
        <v>1.58</v>
      </c>
      <c r="P396">
        <v>1495.684</v>
      </c>
      <c r="Q396" s="5">
        <f t="shared" si="17"/>
        <v>1496.98536644357</v>
      </c>
      <c r="T396" s="19"/>
      <c r="U396" s="19">
        <v>268.79</v>
      </c>
      <c r="V396" s="19"/>
      <c r="W396" s="19">
        <f t="shared" si="34"/>
        <v>355353.627058691</v>
      </c>
      <c r="X396" s="19">
        <f t="shared" si="35"/>
        <v>355704.854</v>
      </c>
      <c r="Y396" s="19"/>
    </row>
    <row r="397" ht="14.25" customHeight="1" spans="1:25">
      <c r="A397" s="10" t="s">
        <v>422</v>
      </c>
      <c r="B397">
        <v>1.24</v>
      </c>
      <c r="C397">
        <v>1.12</v>
      </c>
      <c r="D397">
        <v>1</v>
      </c>
      <c r="E397">
        <v>348</v>
      </c>
      <c r="F397">
        <v>20</v>
      </c>
      <c r="G397">
        <v>51</v>
      </c>
      <c r="H397" s="5">
        <f t="shared" si="0"/>
        <v>348.3475</v>
      </c>
      <c r="I397">
        <v>85</v>
      </c>
      <c r="J397">
        <v>57</v>
      </c>
      <c r="K397">
        <v>35</v>
      </c>
      <c r="L397" s="5">
        <f t="shared" si="1"/>
        <v>85.9597222222222</v>
      </c>
      <c r="M397" s="5">
        <f t="shared" si="28"/>
        <v>23.8808570195488</v>
      </c>
      <c r="N397" s="5">
        <f t="shared" si="29"/>
        <v>1.68678287904475</v>
      </c>
      <c r="O397">
        <v>1.58</v>
      </c>
      <c r="P397">
        <v>1495.684</v>
      </c>
      <c r="Q397" s="5">
        <f t="shared" si="17"/>
        <v>1497.83078287904</v>
      </c>
      <c r="T397" s="19"/>
      <c r="U397" s="19">
        <v>269.79</v>
      </c>
      <c r="V397" s="19"/>
      <c r="W397" s="19">
        <f t="shared" si="34"/>
        <v>355356.508839782</v>
      </c>
      <c r="X397" s="19">
        <f t="shared" si="35"/>
        <v>355704.854</v>
      </c>
      <c r="Y397" s="19"/>
    </row>
    <row r="398" ht="14.25" customHeight="1" spans="1:25">
      <c r="A398" s="10" t="s">
        <v>423</v>
      </c>
      <c r="B398">
        <v>1.151</v>
      </c>
      <c r="C398">
        <v>1.076</v>
      </c>
      <c r="D398">
        <v>1</v>
      </c>
      <c r="E398">
        <v>328</v>
      </c>
      <c r="F398">
        <v>16</v>
      </c>
      <c r="G398">
        <v>40</v>
      </c>
      <c r="H398" s="5">
        <f t="shared" si="0"/>
        <v>328.277777777778</v>
      </c>
      <c r="I398">
        <v>83</v>
      </c>
      <c r="J398">
        <v>53</v>
      </c>
      <c r="K398">
        <v>28</v>
      </c>
      <c r="L398" s="5">
        <f t="shared" si="1"/>
        <v>83.8911111111111</v>
      </c>
      <c r="M398" s="5">
        <f t="shared" si="28"/>
        <v>14.9289945930081</v>
      </c>
      <c r="N398" s="5">
        <f t="shared" si="29"/>
        <v>1.59779185013465</v>
      </c>
      <c r="O398">
        <v>1.58</v>
      </c>
      <c r="P398">
        <v>1495.684</v>
      </c>
      <c r="Q398" s="5">
        <f t="shared" si="17"/>
        <v>1497.78579185013</v>
      </c>
      <c r="T398" s="19"/>
      <c r="U398" s="19">
        <v>270.79</v>
      </c>
      <c r="V398" s="19"/>
      <c r="W398" s="19">
        <f t="shared" si="34"/>
        <v>355376.607426459</v>
      </c>
      <c r="X398" s="19">
        <f t="shared" si="35"/>
        <v>355704.854</v>
      </c>
      <c r="Y398" s="19"/>
    </row>
    <row r="399" ht="14.25" customHeight="1" spans="1:25">
      <c r="A399" s="10" t="s">
        <v>424</v>
      </c>
      <c r="B399">
        <v>0.82</v>
      </c>
      <c r="C399">
        <v>0.76</v>
      </c>
      <c r="D399">
        <v>1</v>
      </c>
      <c r="E399">
        <v>258</v>
      </c>
      <c r="F399">
        <v>44</v>
      </c>
      <c r="G399">
        <v>43</v>
      </c>
      <c r="H399" s="5">
        <f t="shared" si="0"/>
        <v>258.745277777778</v>
      </c>
      <c r="I399">
        <v>83</v>
      </c>
      <c r="J399">
        <v>31</v>
      </c>
      <c r="K399">
        <v>3</v>
      </c>
      <c r="L399" s="5">
        <f t="shared" si="1"/>
        <v>83.5175</v>
      </c>
      <c r="M399" s="5">
        <f t="shared" si="28"/>
        <v>-17.7705656798392</v>
      </c>
      <c r="N399" s="5">
        <f t="shared" si="29"/>
        <v>-2.01920223247389</v>
      </c>
      <c r="O399">
        <v>1.58</v>
      </c>
      <c r="P399">
        <v>1495.684</v>
      </c>
      <c r="Q399" s="5">
        <f t="shared" si="17"/>
        <v>1494.48479776753</v>
      </c>
      <c r="T399" s="19"/>
      <c r="U399" s="19">
        <v>271.79</v>
      </c>
      <c r="V399" s="19"/>
      <c r="W399" s="19">
        <f t="shared" si="34"/>
        <v>355446.234982845</v>
      </c>
      <c r="X399" s="19">
        <f t="shared" si="35"/>
        <v>355704.854</v>
      </c>
      <c r="Y399" s="19"/>
    </row>
    <row r="400" ht="14.25" customHeight="1" spans="1:25">
      <c r="A400" s="10" t="s">
        <v>425</v>
      </c>
      <c r="B400">
        <v>1.14</v>
      </c>
      <c r="C400">
        <v>1.07</v>
      </c>
      <c r="D400">
        <v>1</v>
      </c>
      <c r="E400">
        <v>267</v>
      </c>
      <c r="F400">
        <v>40</v>
      </c>
      <c r="G400">
        <v>4</v>
      </c>
      <c r="H400" s="5">
        <f t="shared" si="0"/>
        <v>267.667777777778</v>
      </c>
      <c r="I400">
        <v>82</v>
      </c>
      <c r="J400">
        <v>28</v>
      </c>
      <c r="K400">
        <v>43</v>
      </c>
      <c r="L400" s="5">
        <f t="shared" si="1"/>
        <v>82.4786111111111</v>
      </c>
      <c r="M400" s="5">
        <f t="shared" si="28"/>
        <v>13.7601262358486</v>
      </c>
      <c r="N400" s="5">
        <f t="shared" si="29"/>
        <v>1.81678102020896</v>
      </c>
      <c r="O400">
        <v>1.58</v>
      </c>
      <c r="P400">
        <v>1495.684</v>
      </c>
      <c r="Q400" s="5">
        <f t="shared" si="17"/>
        <v>1498.01078102021</v>
      </c>
      <c r="T400" s="19"/>
      <c r="U400" s="19">
        <v>272.79</v>
      </c>
      <c r="V400" s="19"/>
      <c r="W400" s="19">
        <f t="shared" si="34"/>
        <v>355437.50350276</v>
      </c>
      <c r="X400" s="19">
        <f t="shared" si="35"/>
        <v>355704.854</v>
      </c>
      <c r="Y400" s="19"/>
    </row>
    <row r="401" ht="14.25" customHeight="1" spans="1:25">
      <c r="A401" s="10" t="s">
        <v>426</v>
      </c>
      <c r="B401">
        <v>1.155</v>
      </c>
      <c r="C401">
        <v>1.078</v>
      </c>
      <c r="D401">
        <v>1</v>
      </c>
      <c r="E401">
        <v>307</v>
      </c>
      <c r="F401">
        <v>55</v>
      </c>
      <c r="G401">
        <v>12</v>
      </c>
      <c r="H401" s="5">
        <f t="shared" si="0"/>
        <v>307.92</v>
      </c>
      <c r="I401">
        <v>83</v>
      </c>
      <c r="J401">
        <v>10</v>
      </c>
      <c r="K401">
        <v>17</v>
      </c>
      <c r="L401" s="5">
        <f t="shared" si="1"/>
        <v>83.1713888888889</v>
      </c>
      <c r="M401" s="5">
        <f t="shared" si="28"/>
        <v>15.2808739862911</v>
      </c>
      <c r="N401" s="5">
        <f t="shared" si="29"/>
        <v>1.8298734936066</v>
      </c>
      <c r="O401">
        <v>1.58</v>
      </c>
      <c r="P401">
        <v>1495.684</v>
      </c>
      <c r="Q401" s="5">
        <f t="shared" si="17"/>
        <v>1498.01587349361</v>
      </c>
      <c r="T401" s="19"/>
      <c r="U401" s="19">
        <v>273.79</v>
      </c>
      <c r="V401" s="19"/>
      <c r="W401" s="19">
        <f t="shared" si="34"/>
        <v>355397.607414872</v>
      </c>
      <c r="X401" s="19">
        <f t="shared" si="35"/>
        <v>355704.854</v>
      </c>
      <c r="Y401" s="19"/>
    </row>
    <row r="402" ht="14.25" customHeight="1" spans="1:25">
      <c r="A402" s="10" t="s">
        <v>427</v>
      </c>
      <c r="B402">
        <v>1.256</v>
      </c>
      <c r="C402">
        <v>1.128</v>
      </c>
      <c r="D402">
        <v>1</v>
      </c>
      <c r="E402">
        <v>342</v>
      </c>
      <c r="F402">
        <v>42</v>
      </c>
      <c r="G402">
        <v>40</v>
      </c>
      <c r="H402" s="5">
        <f t="shared" si="0"/>
        <v>342.711111111111</v>
      </c>
      <c r="I402">
        <v>85</v>
      </c>
      <c r="J402">
        <v>47</v>
      </c>
      <c r="K402">
        <v>26</v>
      </c>
      <c r="L402" s="5">
        <f t="shared" si="1"/>
        <v>85.7905555555556</v>
      </c>
      <c r="M402" s="5">
        <f t="shared" si="28"/>
        <v>25.4620687299843</v>
      </c>
      <c r="N402" s="5">
        <f t="shared" si="29"/>
        <v>1.87403721338563</v>
      </c>
      <c r="O402">
        <v>1.58</v>
      </c>
      <c r="P402">
        <v>1495.684</v>
      </c>
      <c r="Q402" s="5">
        <f t="shared" si="17"/>
        <v>1498.01003721339</v>
      </c>
      <c r="T402" s="19"/>
      <c r="U402" s="19">
        <v>274.79</v>
      </c>
      <c r="V402" s="19"/>
      <c r="W402" s="19">
        <f t="shared" si="34"/>
        <v>355363.339825074</v>
      </c>
      <c r="X402" s="19">
        <f t="shared" si="35"/>
        <v>355704.854</v>
      </c>
      <c r="Y402" s="19"/>
    </row>
    <row r="403" ht="14.25" customHeight="1" spans="1:25">
      <c r="A403" s="10" t="s">
        <v>428</v>
      </c>
      <c r="B403">
        <v>1.117</v>
      </c>
      <c r="C403">
        <v>1.058</v>
      </c>
      <c r="D403">
        <v>1</v>
      </c>
      <c r="E403">
        <v>251</v>
      </c>
      <c r="F403">
        <v>25</v>
      </c>
      <c r="G403">
        <v>19</v>
      </c>
      <c r="H403" s="5">
        <f t="shared" si="0"/>
        <v>251.421944444444</v>
      </c>
      <c r="I403">
        <v>86</v>
      </c>
      <c r="J403">
        <v>26</v>
      </c>
      <c r="K403">
        <v>45</v>
      </c>
      <c r="L403" s="5">
        <f t="shared" si="1"/>
        <v>86.4458333333333</v>
      </c>
      <c r="M403" s="5">
        <f t="shared" si="28"/>
        <v>11.655036609159</v>
      </c>
      <c r="N403" s="5">
        <f t="shared" si="29"/>
        <v>0.723912954935966</v>
      </c>
      <c r="O403">
        <v>1.58</v>
      </c>
      <c r="P403">
        <v>1495.684</v>
      </c>
      <c r="Q403" s="5">
        <f t="shared" si="17"/>
        <v>1496.92991295494</v>
      </c>
      <c r="T403" s="19"/>
      <c r="U403" s="19">
        <v>275.79</v>
      </c>
      <c r="V403" s="19"/>
      <c r="W403" s="19">
        <f t="shared" si="34"/>
        <v>355454.714727029</v>
      </c>
      <c r="X403" s="19">
        <f t="shared" si="35"/>
        <v>355704.854</v>
      </c>
      <c r="Y403" s="19"/>
    </row>
    <row r="404" ht="14.25" customHeight="1" spans="1:25">
      <c r="A404" s="10" t="s">
        <v>429</v>
      </c>
      <c r="B404">
        <v>1.132</v>
      </c>
      <c r="C404">
        <v>1.066</v>
      </c>
      <c r="D404">
        <v>1</v>
      </c>
      <c r="E404">
        <v>241</v>
      </c>
      <c r="F404">
        <v>2</v>
      </c>
      <c r="G404">
        <v>8</v>
      </c>
      <c r="H404" s="5">
        <f t="shared" si="0"/>
        <v>241.035555555556</v>
      </c>
      <c r="I404">
        <v>86</v>
      </c>
      <c r="J404">
        <v>54</v>
      </c>
      <c r="K404">
        <v>46</v>
      </c>
      <c r="L404" s="5">
        <f t="shared" si="1"/>
        <v>86.9127777777778</v>
      </c>
      <c r="M404" s="5">
        <f t="shared" si="28"/>
        <v>13.1617136368196</v>
      </c>
      <c r="N404" s="5">
        <f t="shared" si="29"/>
        <v>0.709869106508762</v>
      </c>
      <c r="O404">
        <v>1.58</v>
      </c>
      <c r="P404">
        <v>1495.684</v>
      </c>
      <c r="Q404" s="5">
        <f t="shared" si="17"/>
        <v>1496.90786910651</v>
      </c>
      <c r="T404" s="19"/>
      <c r="U404" s="19">
        <v>276.79</v>
      </c>
      <c r="V404" s="19"/>
      <c r="W404" s="19">
        <f t="shared" si="34"/>
        <v>355465.509029675</v>
      </c>
      <c r="X404" s="19">
        <f t="shared" si="35"/>
        <v>355704.854</v>
      </c>
      <c r="Y404" s="19"/>
    </row>
    <row r="405" ht="14.25" customHeight="1" spans="1:25">
      <c r="A405" s="10" t="s">
        <v>430</v>
      </c>
      <c r="B405">
        <v>1.146</v>
      </c>
      <c r="C405">
        <v>1.073</v>
      </c>
      <c r="D405">
        <v>1</v>
      </c>
      <c r="E405">
        <v>257</v>
      </c>
      <c r="F405">
        <v>53</v>
      </c>
      <c r="G405">
        <v>2</v>
      </c>
      <c r="H405" s="5">
        <f t="shared" si="0"/>
        <v>257.883888888889</v>
      </c>
      <c r="I405">
        <v>82</v>
      </c>
      <c r="J405">
        <v>11</v>
      </c>
      <c r="K405">
        <v>14</v>
      </c>
      <c r="L405" s="5">
        <f t="shared" si="1"/>
        <v>82.1872222222222</v>
      </c>
      <c r="M405" s="5">
        <f t="shared" si="28"/>
        <v>14.3302104329937</v>
      </c>
      <c r="N405" s="5">
        <f t="shared" si="29"/>
        <v>1.96625056079496</v>
      </c>
      <c r="O405">
        <v>1.58</v>
      </c>
      <c r="P405">
        <v>1495.684</v>
      </c>
      <c r="Q405" s="5">
        <f t="shared" si="17"/>
        <v>1498.15725056079</v>
      </c>
      <c r="T405" s="19"/>
      <c r="U405" s="19">
        <v>277.79</v>
      </c>
      <c r="V405" s="19"/>
      <c r="W405" s="19">
        <f t="shared" si="34"/>
        <v>355449.349989451</v>
      </c>
      <c r="X405" s="19">
        <f t="shared" si="35"/>
        <v>355704.854</v>
      </c>
      <c r="Y405" s="19"/>
    </row>
    <row r="406" ht="14.25" customHeight="1" spans="1:25">
      <c r="A406" s="10" t="s">
        <v>431</v>
      </c>
      <c r="B406">
        <v>1.162</v>
      </c>
      <c r="C406">
        <v>1.081</v>
      </c>
      <c r="D406">
        <v>1</v>
      </c>
      <c r="E406">
        <v>248</v>
      </c>
      <c r="F406">
        <v>55</v>
      </c>
      <c r="G406">
        <v>21</v>
      </c>
      <c r="H406" s="5">
        <f t="shared" si="0"/>
        <v>248.9225</v>
      </c>
      <c r="I406">
        <v>82</v>
      </c>
      <c r="J406">
        <v>55</v>
      </c>
      <c r="K406">
        <v>16</v>
      </c>
      <c r="L406" s="5">
        <f t="shared" si="1"/>
        <v>82.9211111111111</v>
      </c>
      <c r="M406" s="5">
        <f t="shared" si="28"/>
        <v>15.953969448055</v>
      </c>
      <c r="N406" s="5">
        <f t="shared" si="29"/>
        <v>1.98120264208861</v>
      </c>
      <c r="O406">
        <v>1.58</v>
      </c>
      <c r="P406">
        <v>1495.684</v>
      </c>
      <c r="Q406" s="5">
        <f t="shared" si="17"/>
        <v>1498.16420264209</v>
      </c>
      <c r="T406" s="19"/>
      <c r="U406" s="19">
        <v>278.79</v>
      </c>
      <c r="V406" s="19"/>
      <c r="W406" s="19">
        <f t="shared" si="34"/>
        <v>355458.855077994</v>
      </c>
      <c r="X406" s="19">
        <f t="shared" si="35"/>
        <v>355704.854</v>
      </c>
      <c r="Y406" s="19"/>
    </row>
    <row r="407" ht="14.25" customHeight="1" spans="1:25">
      <c r="A407" s="10" t="s">
        <v>432</v>
      </c>
      <c r="B407">
        <v>1.255</v>
      </c>
      <c r="C407">
        <v>1.128</v>
      </c>
      <c r="D407">
        <v>1</v>
      </c>
      <c r="E407">
        <v>243</v>
      </c>
      <c r="F407">
        <v>26</v>
      </c>
      <c r="G407">
        <v>48</v>
      </c>
      <c r="H407" s="5">
        <f t="shared" si="0"/>
        <v>243.446666666667</v>
      </c>
      <c r="I407">
        <v>82</v>
      </c>
      <c r="J407">
        <v>54</v>
      </c>
      <c r="K407">
        <v>4</v>
      </c>
      <c r="L407" s="5">
        <f t="shared" si="1"/>
        <v>82.9011111111111</v>
      </c>
      <c r="M407" s="5">
        <f t="shared" si="28"/>
        <v>25.1105495088105</v>
      </c>
      <c r="N407" s="5">
        <f t="shared" si="29"/>
        <v>3.1271897672263</v>
      </c>
      <c r="O407">
        <v>1.58</v>
      </c>
      <c r="P407">
        <v>1495.684</v>
      </c>
      <c r="Q407" s="5">
        <f t="shared" si="17"/>
        <v>1499.26318976723</v>
      </c>
      <c r="T407" s="19"/>
      <c r="U407" s="19">
        <v>279.79</v>
      </c>
      <c r="V407" s="19"/>
      <c r="W407" s="19">
        <f t="shared" si="34"/>
        <v>355464.952503378</v>
      </c>
      <c r="X407" s="19">
        <f t="shared" si="35"/>
        <v>355704.854</v>
      </c>
      <c r="Y407" s="19"/>
    </row>
    <row r="408" ht="14.25" customHeight="1" spans="1:25">
      <c r="A408" s="10" t="s">
        <v>433</v>
      </c>
      <c r="B408">
        <v>1.282</v>
      </c>
      <c r="C408">
        <v>1.141</v>
      </c>
      <c r="D408">
        <v>1</v>
      </c>
      <c r="E408">
        <v>238</v>
      </c>
      <c r="F408">
        <v>10</v>
      </c>
      <c r="G408">
        <v>8</v>
      </c>
      <c r="H408" s="5">
        <f t="shared" si="0"/>
        <v>238.168888888889</v>
      </c>
      <c r="I408">
        <v>84</v>
      </c>
      <c r="J408">
        <v>14</v>
      </c>
      <c r="K408">
        <v>59</v>
      </c>
      <c r="L408" s="5">
        <f t="shared" si="1"/>
        <v>84.2497222222222</v>
      </c>
      <c r="M408" s="5">
        <f t="shared" si="28"/>
        <v>27.916911077427</v>
      </c>
      <c r="N408" s="5">
        <f t="shared" si="29"/>
        <v>2.81122184796505</v>
      </c>
      <c r="O408">
        <v>1.58</v>
      </c>
      <c r="P408">
        <v>1495.684</v>
      </c>
      <c r="Q408" s="5">
        <f t="shared" si="17"/>
        <v>1498.93422184796</v>
      </c>
      <c r="T408" s="19"/>
      <c r="U408" s="19">
        <v>280.79</v>
      </c>
      <c r="V408" s="19"/>
      <c r="W408" s="19">
        <f t="shared" si="34"/>
        <v>355470.895951391</v>
      </c>
      <c r="X408" s="19">
        <f t="shared" si="35"/>
        <v>355704.854</v>
      </c>
      <c r="Y408" s="19"/>
    </row>
    <row r="409" ht="14.25" customHeight="1" spans="1:25">
      <c r="A409" s="10" t="s">
        <v>434</v>
      </c>
      <c r="B409">
        <v>1.325</v>
      </c>
      <c r="C409">
        <v>1.163</v>
      </c>
      <c r="D409">
        <v>1</v>
      </c>
      <c r="E409">
        <v>233</v>
      </c>
      <c r="F409">
        <v>37</v>
      </c>
      <c r="G409">
        <v>53</v>
      </c>
      <c r="H409" s="5">
        <f t="shared" si="0"/>
        <v>233.631388888889</v>
      </c>
      <c r="I409">
        <v>83</v>
      </c>
      <c r="J409">
        <v>57</v>
      </c>
      <c r="K409">
        <v>26</v>
      </c>
      <c r="L409" s="5">
        <f t="shared" si="1"/>
        <v>83.9572222222222</v>
      </c>
      <c r="M409" s="5">
        <f t="shared" si="28"/>
        <v>32.1398358316516</v>
      </c>
      <c r="N409" s="5">
        <f t="shared" si="29"/>
        <v>3.40229587825074</v>
      </c>
      <c r="O409">
        <v>1.58</v>
      </c>
      <c r="P409">
        <v>1495.684</v>
      </c>
      <c r="Q409" s="5">
        <f t="shared" si="17"/>
        <v>1499.50329587825</v>
      </c>
      <c r="T409" s="19"/>
      <c r="U409" s="19">
        <v>281.79</v>
      </c>
      <c r="V409" s="19"/>
      <c r="W409" s="19">
        <f t="shared" si="34"/>
        <v>355476.151517333</v>
      </c>
      <c r="X409" s="19">
        <f t="shared" si="35"/>
        <v>355704.854</v>
      </c>
      <c r="Y409" s="19"/>
    </row>
    <row r="410" ht="14.25" customHeight="1" spans="1:25">
      <c r="A410" s="10" t="s">
        <v>435</v>
      </c>
      <c r="B410">
        <v>1.386</v>
      </c>
      <c r="C410">
        <v>1.193</v>
      </c>
      <c r="D410">
        <v>1</v>
      </c>
      <c r="E410">
        <v>224</v>
      </c>
      <c r="F410">
        <v>23</v>
      </c>
      <c r="G410">
        <v>41</v>
      </c>
      <c r="H410" s="5">
        <f t="shared" si="0"/>
        <v>224.394722222222</v>
      </c>
      <c r="I410">
        <v>84</v>
      </c>
      <c r="J410">
        <v>17</v>
      </c>
      <c r="K410">
        <v>24</v>
      </c>
      <c r="L410" s="5">
        <f t="shared" si="1"/>
        <v>84.29</v>
      </c>
      <c r="M410" s="5">
        <f t="shared" si="28"/>
        <v>38.2179009058478</v>
      </c>
      <c r="N410" s="5">
        <f t="shared" si="29"/>
        <v>3.82139049516291</v>
      </c>
      <c r="O410">
        <v>1.58</v>
      </c>
      <c r="P410">
        <v>1495.684</v>
      </c>
      <c r="Q410" s="5">
        <f t="shared" si="17"/>
        <v>1499.89239049516</v>
      </c>
      <c r="T410" s="19"/>
      <c r="U410" s="19">
        <v>282.79</v>
      </c>
      <c r="V410" s="19"/>
      <c r="W410" s="19">
        <f t="shared" si="34"/>
        <v>355486.026958096</v>
      </c>
      <c r="X410" s="19">
        <f t="shared" si="35"/>
        <v>355704.854</v>
      </c>
      <c r="Y410" s="19"/>
    </row>
    <row r="411" ht="14.25" customHeight="1" spans="1:25">
      <c r="A411" s="10" t="s">
        <v>436</v>
      </c>
      <c r="B411">
        <v>0.95</v>
      </c>
      <c r="C411">
        <v>0.775</v>
      </c>
      <c r="D411">
        <v>0.6</v>
      </c>
      <c r="E411">
        <v>237</v>
      </c>
      <c r="F411">
        <v>35</v>
      </c>
      <c r="G411">
        <v>26</v>
      </c>
      <c r="H411" s="5">
        <f t="shared" si="0"/>
        <v>237.590555555556</v>
      </c>
      <c r="I411">
        <v>83</v>
      </c>
      <c r="J411">
        <v>1</v>
      </c>
      <c r="K411">
        <v>4</v>
      </c>
      <c r="L411" s="5">
        <f t="shared" si="1"/>
        <v>83.0177777777778</v>
      </c>
      <c r="M411" s="5">
        <f t="shared" si="28"/>
        <v>34.48279916996</v>
      </c>
      <c r="N411" s="5">
        <f t="shared" si="29"/>
        <v>4.22309511529249</v>
      </c>
      <c r="O411">
        <v>1.58</v>
      </c>
      <c r="P411">
        <v>1495.684</v>
      </c>
      <c r="Q411" s="5">
        <f t="shared" si="17"/>
        <v>1500.71209511529</v>
      </c>
      <c r="T411" s="19"/>
      <c r="U411" s="19">
        <v>283.79</v>
      </c>
      <c r="V411" s="19"/>
      <c r="W411" s="19">
        <f t="shared" si="34"/>
        <v>355474.111779112</v>
      </c>
      <c r="X411" s="19">
        <f t="shared" si="35"/>
        <v>355704.854</v>
      </c>
      <c r="Y411" s="19"/>
    </row>
    <row r="412" ht="14.25" customHeight="1" spans="1:25">
      <c r="A412" s="10" t="s">
        <v>437</v>
      </c>
      <c r="B412">
        <v>1.998</v>
      </c>
      <c r="C412">
        <v>1.849</v>
      </c>
      <c r="D412">
        <v>1.7</v>
      </c>
      <c r="E412">
        <v>250</v>
      </c>
      <c r="F412">
        <v>1</v>
      </c>
      <c r="G412">
        <v>44</v>
      </c>
      <c r="H412" s="5">
        <f t="shared" si="0"/>
        <v>250.028888888889</v>
      </c>
      <c r="I412">
        <v>80</v>
      </c>
      <c r="J412">
        <v>58</v>
      </c>
      <c r="K412">
        <v>16</v>
      </c>
      <c r="L412" s="5">
        <f t="shared" si="1"/>
        <v>80.9711111111111</v>
      </c>
      <c r="M412" s="5">
        <f t="shared" si="28"/>
        <v>29.0660918013638</v>
      </c>
      <c r="N412" s="5">
        <f t="shared" si="29"/>
        <v>4.61864082553873</v>
      </c>
      <c r="O412">
        <v>1.58</v>
      </c>
      <c r="P412">
        <v>1495.684</v>
      </c>
      <c r="Q412" s="5">
        <f t="shared" si="17"/>
        <v>1500.03364082554</v>
      </c>
      <c r="T412" s="19"/>
      <c r="U412" s="19">
        <v>284.79</v>
      </c>
      <c r="V412" s="19"/>
      <c r="W412" s="19">
        <f t="shared" si="34"/>
        <v>355463.109078907</v>
      </c>
      <c r="X412" s="19">
        <f t="shared" si="35"/>
        <v>355704.854</v>
      </c>
      <c r="Y412" s="19"/>
    </row>
    <row r="413" ht="14.25" customHeight="1" spans="1:25">
      <c r="A413" s="10" t="s">
        <v>438</v>
      </c>
      <c r="B413">
        <v>1.216</v>
      </c>
      <c r="C413">
        <v>1.108</v>
      </c>
      <c r="D413">
        <v>1</v>
      </c>
      <c r="E413">
        <v>218</v>
      </c>
      <c r="F413">
        <v>39</v>
      </c>
      <c r="G413">
        <v>22</v>
      </c>
      <c r="H413" s="5">
        <f t="shared" si="0"/>
        <v>218.656111111111</v>
      </c>
      <c r="I413">
        <v>86</v>
      </c>
      <c r="J413">
        <v>10</v>
      </c>
      <c r="K413">
        <v>45</v>
      </c>
      <c r="L413" s="5">
        <f t="shared" si="1"/>
        <v>86.1791666666667</v>
      </c>
      <c r="M413" s="5">
        <f t="shared" si="28"/>
        <v>21.5040862648465</v>
      </c>
      <c r="N413" s="5">
        <f t="shared" si="29"/>
        <v>1.43615362504295</v>
      </c>
      <c r="O413">
        <v>1.58</v>
      </c>
      <c r="P413">
        <v>1495.684</v>
      </c>
      <c r="Q413" s="5">
        <f t="shared" si="17"/>
        <v>1497.59215362504</v>
      </c>
      <c r="T413" s="19"/>
      <c r="U413" s="19">
        <v>285.79</v>
      </c>
      <c r="V413" s="19"/>
      <c r="W413" s="19">
        <f t="shared" si="34"/>
        <v>355494.44876779</v>
      </c>
      <c r="X413" s="19">
        <f t="shared" si="35"/>
        <v>355704.854</v>
      </c>
      <c r="Y413" s="19"/>
    </row>
    <row r="414" ht="14.25" customHeight="1" spans="1:25">
      <c r="A414" s="10" t="s">
        <v>439</v>
      </c>
      <c r="B414">
        <v>1.164</v>
      </c>
      <c r="C414">
        <v>1.082</v>
      </c>
      <c r="D414">
        <v>1</v>
      </c>
      <c r="E414">
        <v>247</v>
      </c>
      <c r="F414">
        <v>59</v>
      </c>
      <c r="G414">
        <v>47</v>
      </c>
      <c r="H414" s="5">
        <f t="shared" si="0"/>
        <v>247.996388888889</v>
      </c>
      <c r="I414">
        <v>83</v>
      </c>
      <c r="J414">
        <v>7</v>
      </c>
      <c r="K414">
        <v>48</v>
      </c>
      <c r="L414" s="5">
        <f t="shared" si="1"/>
        <v>83.13</v>
      </c>
      <c r="M414" s="5">
        <f t="shared" si="28"/>
        <v>16.1653450200684</v>
      </c>
      <c r="N414" s="5">
        <f t="shared" si="29"/>
        <v>1.94763413177927</v>
      </c>
      <c r="O414">
        <v>1.58</v>
      </c>
      <c r="P414">
        <v>1495.684</v>
      </c>
      <c r="Q414" s="5">
        <f t="shared" si="17"/>
        <v>1498.12963413178</v>
      </c>
      <c r="T414" s="19"/>
      <c r="U414" s="19">
        <v>286.79</v>
      </c>
      <c r="V414" s="19"/>
      <c r="W414" s="19">
        <f t="shared" si="34"/>
        <v>355467.429714944</v>
      </c>
      <c r="X414" s="19">
        <f t="shared" si="35"/>
        <v>355704.854</v>
      </c>
      <c r="Y414" s="19"/>
    </row>
    <row r="415" ht="14.25" customHeight="1" spans="1:25">
      <c r="A415" s="10" t="s">
        <v>440</v>
      </c>
      <c r="B415">
        <v>1.252</v>
      </c>
      <c r="C415">
        <v>1.126</v>
      </c>
      <c r="D415">
        <v>1</v>
      </c>
      <c r="E415">
        <v>226</v>
      </c>
      <c r="F415">
        <v>36</v>
      </c>
      <c r="G415">
        <v>6</v>
      </c>
      <c r="H415" s="5">
        <f t="shared" si="0"/>
        <v>226.601666666667</v>
      </c>
      <c r="I415">
        <v>84</v>
      </c>
      <c r="J415">
        <v>7</v>
      </c>
      <c r="K415">
        <v>17</v>
      </c>
      <c r="L415" s="5">
        <f t="shared" si="1"/>
        <v>84.1213888888889</v>
      </c>
      <c r="M415" s="5">
        <f t="shared" si="28"/>
        <v>24.9356494213698</v>
      </c>
      <c r="N415" s="5">
        <f t="shared" si="29"/>
        <v>2.56744101257641</v>
      </c>
      <c r="O415">
        <v>1.58</v>
      </c>
      <c r="P415">
        <v>1495.684</v>
      </c>
      <c r="Q415" s="5">
        <f t="shared" si="17"/>
        <v>1498.70544101258</v>
      </c>
      <c r="T415" s="19"/>
      <c r="U415" s="19">
        <v>287.79</v>
      </c>
      <c r="V415" s="19"/>
      <c r="W415" s="19">
        <f t="shared" si="34"/>
        <v>355489.087805972</v>
      </c>
      <c r="X415" s="19">
        <f t="shared" si="35"/>
        <v>355704.854</v>
      </c>
      <c r="Y415" s="19"/>
    </row>
    <row r="416" ht="14.25" customHeight="1" spans="1:25">
      <c r="A416" s="10" t="s">
        <v>441</v>
      </c>
      <c r="B416">
        <v>1.308</v>
      </c>
      <c r="C416">
        <v>1.154</v>
      </c>
      <c r="D416">
        <v>1</v>
      </c>
      <c r="E416">
        <v>218</v>
      </c>
      <c r="F416">
        <v>51</v>
      </c>
      <c r="G416">
        <v>0</v>
      </c>
      <c r="H416" s="5">
        <f t="shared" si="0"/>
        <v>218.85</v>
      </c>
      <c r="I416">
        <v>85</v>
      </c>
      <c r="J416">
        <v>33</v>
      </c>
      <c r="K416">
        <v>34</v>
      </c>
      <c r="L416" s="5">
        <f t="shared" si="1"/>
        <v>85.5594444444444</v>
      </c>
      <c r="M416" s="5">
        <f t="shared" si="28"/>
        <v>30.6153665658547</v>
      </c>
      <c r="N416" s="5">
        <f t="shared" si="29"/>
        <v>2.37752397814819</v>
      </c>
      <c r="O416">
        <v>1.58</v>
      </c>
      <c r="P416">
        <v>1495.684</v>
      </c>
      <c r="Q416" s="5">
        <f t="shared" si="17"/>
        <v>1498.48752397815</v>
      </c>
      <c r="T416" s="19"/>
      <c r="U416" s="19">
        <v>288.79</v>
      </c>
      <c r="V416" s="19"/>
      <c r="W416" s="19">
        <f t="shared" si="34"/>
        <v>355497.667503194</v>
      </c>
      <c r="X416" s="19">
        <f t="shared" si="35"/>
        <v>355704.854</v>
      </c>
      <c r="Y416" s="19"/>
    </row>
    <row r="417" ht="14.25" customHeight="1" spans="1:25">
      <c r="A417" s="10" t="s">
        <v>442</v>
      </c>
      <c r="B417">
        <v>1.292</v>
      </c>
      <c r="C417">
        <v>1.146</v>
      </c>
      <c r="D417">
        <v>1</v>
      </c>
      <c r="E417">
        <v>213</v>
      </c>
      <c r="F417">
        <v>22</v>
      </c>
      <c r="G417">
        <v>17</v>
      </c>
      <c r="H417" s="5">
        <f t="shared" si="0"/>
        <v>213.371388888889</v>
      </c>
      <c r="I417">
        <v>86</v>
      </c>
      <c r="J417">
        <v>10</v>
      </c>
      <c r="K417">
        <v>35</v>
      </c>
      <c r="L417" s="5">
        <f t="shared" si="1"/>
        <v>86.1763888888889</v>
      </c>
      <c r="M417" s="5">
        <f t="shared" si="28"/>
        <v>29.0701505215451</v>
      </c>
      <c r="N417" s="5">
        <f t="shared" si="29"/>
        <v>1.94287001207719</v>
      </c>
      <c r="O417">
        <v>1.58</v>
      </c>
      <c r="P417">
        <v>1495.684</v>
      </c>
      <c r="Q417" s="5">
        <f t="shared" si="17"/>
        <v>1498.06087001208</v>
      </c>
      <c r="T417" s="19"/>
      <c r="U417" s="19">
        <v>289.79</v>
      </c>
      <c r="V417" s="19"/>
      <c r="W417" s="19">
        <f t="shared" si="34"/>
        <v>355504.084351942</v>
      </c>
      <c r="X417" s="19">
        <f t="shared" si="35"/>
        <v>355704.854</v>
      </c>
      <c r="Y417" s="19"/>
    </row>
    <row r="418" ht="14.25" customHeight="1" spans="1:25">
      <c r="A418" s="10" t="s">
        <v>443</v>
      </c>
      <c r="B418">
        <v>1.228</v>
      </c>
      <c r="C418">
        <v>1.114</v>
      </c>
      <c r="D418">
        <v>1</v>
      </c>
      <c r="E418">
        <v>219</v>
      </c>
      <c r="F418">
        <v>22</v>
      </c>
      <c r="G418">
        <v>53</v>
      </c>
      <c r="H418" s="5">
        <f t="shared" si="0"/>
        <v>219.381388888889</v>
      </c>
      <c r="I418">
        <v>85</v>
      </c>
      <c r="J418">
        <v>36</v>
      </c>
      <c r="K418">
        <v>59</v>
      </c>
      <c r="L418" s="5">
        <f t="shared" si="1"/>
        <v>85.6163888888889</v>
      </c>
      <c r="M418" s="5">
        <f t="shared" si="28"/>
        <v>22.6667994347395</v>
      </c>
      <c r="N418" s="5">
        <f t="shared" si="29"/>
        <v>1.73759330608586</v>
      </c>
      <c r="O418">
        <v>1.58</v>
      </c>
      <c r="P418">
        <v>1495.684</v>
      </c>
      <c r="Q418" s="5">
        <f t="shared" si="17"/>
        <v>1497.88759330609</v>
      </c>
      <c r="T418" s="19"/>
      <c r="U418" s="19">
        <v>290.79</v>
      </c>
      <c r="V418" s="19"/>
      <c r="W418" s="19">
        <f t="shared" ref="W418:W443" si="36">$S$353+(H418*SIN(U418*3.141592654/180))</f>
        <v>355499.75705113</v>
      </c>
      <c r="X418" s="19">
        <f t="shared" ref="X418:X443" si="37">$S$353+(I418*SIN(V418*3.141592654/180))</f>
        <v>355704.854</v>
      </c>
      <c r="Y418" s="19"/>
    </row>
    <row r="419" ht="14.25" customHeight="1" spans="1:25">
      <c r="A419" s="10" t="s">
        <v>444</v>
      </c>
      <c r="B419">
        <v>1.342</v>
      </c>
      <c r="C419">
        <v>1.271</v>
      </c>
      <c r="D419">
        <v>1.2</v>
      </c>
      <c r="E419">
        <v>237</v>
      </c>
      <c r="F419">
        <v>31</v>
      </c>
      <c r="G419">
        <v>0</v>
      </c>
      <c r="H419" s="5">
        <f t="shared" si="0"/>
        <v>237.516666666667</v>
      </c>
      <c r="I419">
        <v>84</v>
      </c>
      <c r="J419">
        <v>6</v>
      </c>
      <c r="K419">
        <v>36</v>
      </c>
      <c r="L419" s="5">
        <f t="shared" si="1"/>
        <v>84.11</v>
      </c>
      <c r="M419" s="5">
        <f t="shared" si="28"/>
        <v>14.0504648531585</v>
      </c>
      <c r="N419" s="5">
        <f t="shared" si="29"/>
        <v>1.44949588650969</v>
      </c>
      <c r="O419">
        <v>1.58</v>
      </c>
      <c r="P419">
        <v>1495.684</v>
      </c>
      <c r="Q419" s="5">
        <f t="shared" si="17"/>
        <v>1497.44249588651</v>
      </c>
      <c r="T419" s="19"/>
      <c r="U419" s="19">
        <v>291.79</v>
      </c>
      <c r="V419" s="19"/>
      <c r="W419" s="19">
        <f t="shared" si="36"/>
        <v>355484.30774991</v>
      </c>
      <c r="X419" s="19">
        <f t="shared" si="37"/>
        <v>355704.854</v>
      </c>
      <c r="Y419" s="19"/>
    </row>
    <row r="420" ht="14.25" customHeight="1" spans="1:25">
      <c r="A420" s="10" t="s">
        <v>445</v>
      </c>
      <c r="B420">
        <v>1.134</v>
      </c>
      <c r="C420">
        <v>1.066</v>
      </c>
      <c r="D420">
        <v>1</v>
      </c>
      <c r="E420">
        <v>236</v>
      </c>
      <c r="F420">
        <v>13</v>
      </c>
      <c r="G420">
        <v>18</v>
      </c>
      <c r="H420" s="5">
        <f t="shared" si="0"/>
        <v>236.221666666667</v>
      </c>
      <c r="I420">
        <v>86</v>
      </c>
      <c r="J420">
        <v>52</v>
      </c>
      <c r="K420">
        <v>47</v>
      </c>
      <c r="L420" s="5">
        <f t="shared" si="1"/>
        <v>86.8797222222222</v>
      </c>
      <c r="M420" s="5">
        <f t="shared" si="28"/>
        <v>13.3602976087892</v>
      </c>
      <c r="N420" s="5">
        <f t="shared" si="29"/>
        <v>0.728310210251299</v>
      </c>
      <c r="O420">
        <v>1.58</v>
      </c>
      <c r="P420">
        <v>1495.684</v>
      </c>
      <c r="Q420" s="5">
        <f t="shared" si="17"/>
        <v>1496.92631021025</v>
      </c>
      <c r="T420" s="19"/>
      <c r="U420" s="19">
        <v>292.79</v>
      </c>
      <c r="V420" s="19"/>
      <c r="W420" s="19">
        <f t="shared" si="36"/>
        <v>355487.073976601</v>
      </c>
      <c r="X420" s="19">
        <f t="shared" si="37"/>
        <v>355704.854</v>
      </c>
      <c r="Y420" s="19"/>
    </row>
    <row r="421" ht="14.25" customHeight="1" spans="1:25">
      <c r="A421" s="10" t="s">
        <v>446</v>
      </c>
      <c r="B421">
        <v>1.21</v>
      </c>
      <c r="C421">
        <v>1.105</v>
      </c>
      <c r="D421">
        <v>1</v>
      </c>
      <c r="E421">
        <v>217</v>
      </c>
      <c r="F421">
        <v>28</v>
      </c>
      <c r="G421">
        <v>19</v>
      </c>
      <c r="H421" s="5">
        <f t="shared" si="0"/>
        <v>217.471944444444</v>
      </c>
      <c r="I421">
        <v>87</v>
      </c>
      <c r="J421">
        <v>13</v>
      </c>
      <c r="K421">
        <v>31</v>
      </c>
      <c r="L421" s="5">
        <f t="shared" si="1"/>
        <v>87.2252777777778</v>
      </c>
      <c r="M421" s="5">
        <f t="shared" si="28"/>
        <v>20.9507877167757</v>
      </c>
      <c r="N421" s="5">
        <f t="shared" si="29"/>
        <v>1.0153994774912</v>
      </c>
      <c r="O421">
        <v>1.58</v>
      </c>
      <c r="P421">
        <v>1495.684</v>
      </c>
      <c r="Q421" s="5">
        <f t="shared" si="17"/>
        <v>1497.17439947749</v>
      </c>
      <c r="T421" s="19"/>
      <c r="U421" s="19">
        <v>293.79</v>
      </c>
      <c r="V421" s="19"/>
      <c r="W421" s="19">
        <f t="shared" si="36"/>
        <v>355505.860628063</v>
      </c>
      <c r="X421" s="19">
        <f t="shared" si="37"/>
        <v>355704.854</v>
      </c>
      <c r="Y421" s="19"/>
    </row>
    <row r="422" ht="14.25" customHeight="1" spans="1:25">
      <c r="A422" s="10" t="s">
        <v>447</v>
      </c>
      <c r="B422">
        <v>1.28</v>
      </c>
      <c r="C422">
        <v>1.14</v>
      </c>
      <c r="D422">
        <v>1</v>
      </c>
      <c r="E422">
        <v>212</v>
      </c>
      <c r="F422">
        <v>1</v>
      </c>
      <c r="G422">
        <v>17</v>
      </c>
      <c r="H422" s="5">
        <f t="shared" si="0"/>
        <v>212.021388888889</v>
      </c>
      <c r="I422">
        <v>87</v>
      </c>
      <c r="J422">
        <v>24</v>
      </c>
      <c r="K422">
        <v>43</v>
      </c>
      <c r="L422" s="5">
        <f t="shared" si="1"/>
        <v>87.4119444444444</v>
      </c>
      <c r="M422" s="5">
        <f t="shared" si="28"/>
        <v>27.9429094053197</v>
      </c>
      <c r="N422" s="5">
        <f t="shared" si="29"/>
        <v>1.26304287933887</v>
      </c>
      <c r="O422">
        <v>1.58</v>
      </c>
      <c r="P422">
        <v>1495.684</v>
      </c>
      <c r="Q422" s="5">
        <f t="shared" si="17"/>
        <v>1497.38704287934</v>
      </c>
      <c r="T422" s="19"/>
      <c r="U422" s="19">
        <v>294.79</v>
      </c>
      <c r="V422" s="19"/>
      <c r="W422" s="19">
        <f t="shared" si="36"/>
        <v>355512.370239487</v>
      </c>
      <c r="X422" s="19">
        <f t="shared" si="37"/>
        <v>355704.854</v>
      </c>
      <c r="Y422" s="19"/>
    </row>
    <row r="423" ht="14.25" customHeight="1" spans="1:25">
      <c r="A423" s="10" t="s">
        <v>448</v>
      </c>
      <c r="B423">
        <v>1.282</v>
      </c>
      <c r="C423">
        <v>1.141</v>
      </c>
      <c r="D423">
        <v>1</v>
      </c>
      <c r="E423">
        <v>211</v>
      </c>
      <c r="F423">
        <v>21</v>
      </c>
      <c r="G423">
        <v>5</v>
      </c>
      <c r="H423" s="5">
        <f t="shared" si="0"/>
        <v>211.351388888889</v>
      </c>
      <c r="I423">
        <v>88</v>
      </c>
      <c r="J423">
        <v>42</v>
      </c>
      <c r="K423">
        <v>53</v>
      </c>
      <c r="L423" s="5">
        <f t="shared" si="1"/>
        <v>88.7147222222222</v>
      </c>
      <c r="M423" s="5">
        <f t="shared" si="28"/>
        <v>28.1858118754347</v>
      </c>
      <c r="N423" s="5">
        <f t="shared" si="29"/>
        <v>0.632379482480323</v>
      </c>
      <c r="O423">
        <v>1.58</v>
      </c>
      <c r="P423">
        <v>1495.684</v>
      </c>
      <c r="Q423" s="5">
        <f t="shared" si="17"/>
        <v>1496.75537948248</v>
      </c>
      <c r="T423" s="19"/>
      <c r="U423" s="19">
        <v>295.79</v>
      </c>
      <c r="V423" s="19"/>
      <c r="W423" s="19">
        <f t="shared" si="36"/>
        <v>355514.554325474</v>
      </c>
      <c r="X423" s="19">
        <f t="shared" si="37"/>
        <v>355704.854</v>
      </c>
      <c r="Y423" s="19"/>
    </row>
    <row r="424" ht="14.25" customHeight="1" spans="1:25">
      <c r="A424" s="10" t="s">
        <v>449</v>
      </c>
      <c r="B424">
        <v>1.208</v>
      </c>
      <c r="C424">
        <v>1.104</v>
      </c>
      <c r="D424">
        <v>1</v>
      </c>
      <c r="E424">
        <v>217</v>
      </c>
      <c r="F424">
        <v>6</v>
      </c>
      <c r="G424">
        <v>44</v>
      </c>
      <c r="H424" s="5">
        <f t="shared" si="0"/>
        <v>217.112222222222</v>
      </c>
      <c r="I424">
        <v>89</v>
      </c>
      <c r="J424">
        <v>16</v>
      </c>
      <c r="K424">
        <v>44</v>
      </c>
      <c r="L424" s="5">
        <f t="shared" si="1"/>
        <v>89.2788888888889</v>
      </c>
      <c r="M424" s="5">
        <f t="shared" si="28"/>
        <v>20.796705424126</v>
      </c>
      <c r="N424" s="5">
        <f t="shared" si="29"/>
        <v>0.261756230009734</v>
      </c>
      <c r="O424">
        <v>1.58</v>
      </c>
      <c r="P424">
        <v>1495.684</v>
      </c>
      <c r="Q424" s="5">
        <f t="shared" si="17"/>
        <v>1496.42175623001</v>
      </c>
      <c r="T424" s="19"/>
      <c r="U424" s="19">
        <v>296.79</v>
      </c>
      <c r="V424" s="19"/>
      <c r="W424" s="19">
        <f t="shared" si="36"/>
        <v>355511.045627243</v>
      </c>
      <c r="X424" s="19">
        <f t="shared" si="37"/>
        <v>355704.854</v>
      </c>
      <c r="Y424" s="19"/>
    </row>
    <row r="425" ht="14.25" customHeight="1" spans="1:25">
      <c r="A425" s="10" t="s">
        <v>450</v>
      </c>
      <c r="B425">
        <v>1.13</v>
      </c>
      <c r="C425">
        <v>1.075</v>
      </c>
      <c r="D425">
        <v>1</v>
      </c>
      <c r="E425">
        <v>233</v>
      </c>
      <c r="F425">
        <v>19</v>
      </c>
      <c r="G425">
        <v>39</v>
      </c>
      <c r="H425" s="5">
        <f t="shared" si="0"/>
        <v>233.3275</v>
      </c>
      <c r="I425">
        <v>89</v>
      </c>
      <c r="J425">
        <v>48</v>
      </c>
      <c r="K425">
        <v>17</v>
      </c>
      <c r="L425" s="5">
        <f t="shared" si="1"/>
        <v>89.8047222222222</v>
      </c>
      <c r="M425" s="5">
        <f t="shared" si="28"/>
        <v>12.9998489912702</v>
      </c>
      <c r="N425" s="5">
        <f t="shared" si="29"/>
        <v>0.044306779200057</v>
      </c>
      <c r="O425">
        <v>1.58</v>
      </c>
      <c r="P425">
        <v>1495.684</v>
      </c>
      <c r="Q425" s="5">
        <f t="shared" si="17"/>
        <v>1496.2333067792</v>
      </c>
      <c r="T425" s="19"/>
      <c r="U425" s="19">
        <v>297.79</v>
      </c>
      <c r="V425" s="19"/>
      <c r="W425" s="19">
        <f t="shared" si="36"/>
        <v>355498.437942905</v>
      </c>
      <c r="X425" s="19">
        <f t="shared" si="37"/>
        <v>355704.854</v>
      </c>
      <c r="Y425" s="19"/>
    </row>
    <row r="426" ht="14.25" customHeight="1" spans="1:25">
      <c r="A426" s="10" t="s">
        <v>451</v>
      </c>
      <c r="B426">
        <v>1.812</v>
      </c>
      <c r="C426">
        <v>1.605</v>
      </c>
      <c r="D426">
        <v>1.4</v>
      </c>
      <c r="E426">
        <v>253</v>
      </c>
      <c r="F426">
        <v>14</v>
      </c>
      <c r="G426">
        <v>36</v>
      </c>
      <c r="H426" s="5">
        <f t="shared" si="0"/>
        <v>253.243333333333</v>
      </c>
      <c r="I426">
        <v>78</v>
      </c>
      <c r="J426">
        <v>43</v>
      </c>
      <c r="K426">
        <v>29</v>
      </c>
      <c r="L426" s="5">
        <f t="shared" si="1"/>
        <v>78.7247222222222</v>
      </c>
      <c r="M426" s="5">
        <f t="shared" si="28"/>
        <v>39.6249550649916</v>
      </c>
      <c r="N426" s="5">
        <f t="shared" si="29"/>
        <v>7.90006865635047</v>
      </c>
      <c r="O426">
        <v>1.58</v>
      </c>
      <c r="P426">
        <v>1495.684</v>
      </c>
      <c r="Q426" s="5">
        <f t="shared" si="17"/>
        <v>1503.55906865635</v>
      </c>
      <c r="T426" s="19"/>
      <c r="U426" s="19">
        <v>298.79</v>
      </c>
      <c r="V426" s="19"/>
      <c r="W426" s="19">
        <f t="shared" si="36"/>
        <v>355482.913885612</v>
      </c>
      <c r="X426" s="19">
        <f t="shared" si="37"/>
        <v>355704.854</v>
      </c>
      <c r="Y426" s="19"/>
    </row>
    <row r="427" ht="14.25" customHeight="1" spans="1:25">
      <c r="A427" s="10" t="s">
        <v>452</v>
      </c>
      <c r="B427">
        <v>1.405</v>
      </c>
      <c r="C427">
        <v>1.202</v>
      </c>
      <c r="D427">
        <v>1</v>
      </c>
      <c r="E427">
        <v>254</v>
      </c>
      <c r="F427">
        <v>23</v>
      </c>
      <c r="G427">
        <v>12</v>
      </c>
      <c r="H427" s="5">
        <f t="shared" si="0"/>
        <v>254.386666666667</v>
      </c>
      <c r="I427">
        <v>80</v>
      </c>
      <c r="J427">
        <v>7</v>
      </c>
      <c r="K427">
        <v>58</v>
      </c>
      <c r="L427" s="5">
        <f t="shared" si="1"/>
        <v>80.1327777777778</v>
      </c>
      <c r="M427" s="5">
        <f t="shared" si="28"/>
        <v>39.310671400695</v>
      </c>
      <c r="N427" s="5">
        <f t="shared" si="29"/>
        <v>6.8376389020427</v>
      </c>
      <c r="O427">
        <v>1.58</v>
      </c>
      <c r="P427">
        <v>1495.684</v>
      </c>
      <c r="Q427" s="5">
        <f t="shared" si="17"/>
        <v>1502.89963890204</v>
      </c>
      <c r="T427" s="19"/>
      <c r="U427" s="19">
        <v>299.79</v>
      </c>
      <c r="V427" s="19"/>
      <c r="W427" s="19">
        <f t="shared" si="36"/>
        <v>355484.083977246</v>
      </c>
      <c r="X427" s="19">
        <f t="shared" si="37"/>
        <v>355704.854</v>
      </c>
      <c r="Y427" s="19"/>
    </row>
    <row r="428" ht="14.25" customHeight="1" spans="1:25">
      <c r="A428" s="10" t="s">
        <v>453</v>
      </c>
      <c r="B428">
        <v>1.408</v>
      </c>
      <c r="C428">
        <v>1.204</v>
      </c>
      <c r="D428">
        <v>1</v>
      </c>
      <c r="E428">
        <v>256</v>
      </c>
      <c r="F428">
        <v>6</v>
      </c>
      <c r="G428">
        <v>46</v>
      </c>
      <c r="H428" s="5">
        <f t="shared" si="0"/>
        <v>256.112777777778</v>
      </c>
      <c r="I428">
        <v>81</v>
      </c>
      <c r="J428">
        <v>2</v>
      </c>
      <c r="K428">
        <v>46</v>
      </c>
      <c r="L428" s="5">
        <f t="shared" si="1"/>
        <v>81.0461111111111</v>
      </c>
      <c r="M428" s="5">
        <f t="shared" si="28"/>
        <v>39.8116745112012</v>
      </c>
      <c r="N428" s="5">
        <f t="shared" si="29"/>
        <v>6.27271015360844</v>
      </c>
      <c r="O428">
        <v>1.58</v>
      </c>
      <c r="P428">
        <v>1495.684</v>
      </c>
      <c r="Q428" s="5">
        <f t="shared" si="17"/>
        <v>1502.33271015361</v>
      </c>
      <c r="T428" s="19"/>
      <c r="U428" s="19">
        <v>300.79</v>
      </c>
      <c r="V428" s="19"/>
      <c r="W428" s="19">
        <f t="shared" si="36"/>
        <v>355484.840509864</v>
      </c>
      <c r="X428" s="19">
        <f t="shared" si="37"/>
        <v>355704.854</v>
      </c>
      <c r="Y428" s="19"/>
    </row>
    <row r="429" ht="14.25" customHeight="1" spans="1:25">
      <c r="A429" s="10" t="s">
        <v>454</v>
      </c>
      <c r="B429">
        <v>0.892</v>
      </c>
      <c r="C429">
        <v>0.699</v>
      </c>
      <c r="D429">
        <v>0.5</v>
      </c>
      <c r="E429">
        <v>257</v>
      </c>
      <c r="F429">
        <v>58</v>
      </c>
      <c r="G429">
        <v>53</v>
      </c>
      <c r="H429" s="5">
        <f t="shared" si="0"/>
        <v>257.981388888889</v>
      </c>
      <c r="I429">
        <v>82</v>
      </c>
      <c r="J429">
        <v>23</v>
      </c>
      <c r="K429">
        <v>47</v>
      </c>
      <c r="L429" s="5">
        <f t="shared" si="1"/>
        <v>82.3963888888889</v>
      </c>
      <c r="M429" s="5">
        <f t="shared" si="28"/>
        <v>38.5136753740515</v>
      </c>
      <c r="N429" s="5">
        <f t="shared" si="29"/>
        <v>5.14129204043078</v>
      </c>
      <c r="O429">
        <v>1.58</v>
      </c>
      <c r="P429">
        <v>1495.684</v>
      </c>
      <c r="Q429" s="5">
        <f t="shared" si="17"/>
        <v>1501.70629204043</v>
      </c>
      <c r="T429" s="19"/>
      <c r="U429" s="19">
        <v>301.79</v>
      </c>
      <c r="V429" s="19"/>
      <c r="W429" s="19">
        <f t="shared" si="36"/>
        <v>355485.573779248</v>
      </c>
      <c r="X429" s="19">
        <f t="shared" si="37"/>
        <v>355704.854</v>
      </c>
      <c r="Y429" s="19"/>
    </row>
    <row r="430" ht="14.25" customHeight="1" spans="1:25">
      <c r="A430" s="10" t="s">
        <v>455</v>
      </c>
      <c r="B430">
        <v>4.985</v>
      </c>
      <c r="C430">
        <v>4.79</v>
      </c>
      <c r="D430">
        <v>4.6</v>
      </c>
      <c r="E430">
        <v>259</v>
      </c>
      <c r="F430">
        <v>58</v>
      </c>
      <c r="G430">
        <v>49</v>
      </c>
      <c r="H430" s="5">
        <f t="shared" si="0"/>
        <v>259.980277777778</v>
      </c>
      <c r="I430">
        <v>77</v>
      </c>
      <c r="J430">
        <v>23</v>
      </c>
      <c r="K430">
        <v>24</v>
      </c>
      <c r="L430" s="5">
        <f t="shared" si="1"/>
        <v>77.39</v>
      </c>
      <c r="M430" s="5">
        <f t="shared" si="28"/>
        <v>36.6650586674167</v>
      </c>
      <c r="N430" s="5">
        <f t="shared" si="29"/>
        <v>8.20233086448227</v>
      </c>
      <c r="O430">
        <v>1.58</v>
      </c>
      <c r="P430">
        <v>1495.684</v>
      </c>
      <c r="Q430" s="5">
        <f t="shared" si="17"/>
        <v>1500.67633086448</v>
      </c>
      <c r="T430" s="19"/>
      <c r="U430" s="19">
        <v>302.79</v>
      </c>
      <c r="V430" s="19"/>
      <c r="W430" s="19">
        <f t="shared" si="36"/>
        <v>355486.298684284</v>
      </c>
      <c r="X430" s="19">
        <f t="shared" si="37"/>
        <v>355704.854</v>
      </c>
      <c r="Y430" s="19"/>
    </row>
    <row r="431" ht="14.25" customHeight="1" spans="1:25">
      <c r="A431" s="10" t="s">
        <v>456</v>
      </c>
      <c r="B431">
        <v>1.39</v>
      </c>
      <c r="C431">
        <v>1.195</v>
      </c>
      <c r="D431">
        <v>1</v>
      </c>
      <c r="E431">
        <v>245</v>
      </c>
      <c r="F431">
        <v>6</v>
      </c>
      <c r="G431">
        <v>11</v>
      </c>
      <c r="H431" s="5">
        <f t="shared" si="0"/>
        <v>245.103055555556</v>
      </c>
      <c r="I431">
        <v>79</v>
      </c>
      <c r="J431">
        <v>26</v>
      </c>
      <c r="K431">
        <v>14</v>
      </c>
      <c r="L431" s="5">
        <f t="shared" si="1"/>
        <v>79.4372222222222</v>
      </c>
      <c r="M431" s="5">
        <f t="shared" si="28"/>
        <v>37.6894610266534</v>
      </c>
      <c r="N431" s="5">
        <f t="shared" si="29"/>
        <v>7.02805147675064</v>
      </c>
      <c r="O431">
        <v>1.58</v>
      </c>
      <c r="P431">
        <v>1495.684</v>
      </c>
      <c r="Q431" s="5">
        <f t="shared" si="17"/>
        <v>1503.09705147675</v>
      </c>
      <c r="T431" s="19"/>
      <c r="U431" s="19">
        <v>303.79</v>
      </c>
      <c r="V431" s="19"/>
      <c r="W431" s="19">
        <f t="shared" si="36"/>
        <v>355501.153373137</v>
      </c>
      <c r="X431" s="19">
        <f t="shared" si="37"/>
        <v>355704.854</v>
      </c>
      <c r="Y431" s="19"/>
    </row>
    <row r="432" ht="14.25" customHeight="1" spans="1:25">
      <c r="A432" s="10" t="s">
        <v>457</v>
      </c>
      <c r="B432">
        <v>1.772</v>
      </c>
      <c r="C432">
        <v>1.586</v>
      </c>
      <c r="D432">
        <v>1.4</v>
      </c>
      <c r="E432">
        <v>246</v>
      </c>
      <c r="F432">
        <v>13</v>
      </c>
      <c r="G432">
        <v>52</v>
      </c>
      <c r="H432" s="5">
        <f t="shared" si="0"/>
        <v>246.231111111111</v>
      </c>
      <c r="I432">
        <v>79</v>
      </c>
      <c r="J432">
        <v>31</v>
      </c>
      <c r="K432">
        <v>33</v>
      </c>
      <c r="L432" s="5">
        <f t="shared" si="1"/>
        <v>79.5258333333333</v>
      </c>
      <c r="M432" s="5">
        <f t="shared" si="28"/>
        <v>35.9705996392704</v>
      </c>
      <c r="N432" s="5">
        <f t="shared" si="29"/>
        <v>6.649982569314</v>
      </c>
      <c r="O432">
        <v>1.58</v>
      </c>
      <c r="P432">
        <v>1495.684</v>
      </c>
      <c r="Q432" s="5">
        <f t="shared" si="17"/>
        <v>1502.32798256931</v>
      </c>
      <c r="T432" s="19"/>
      <c r="U432" s="19">
        <v>304.79</v>
      </c>
      <c r="V432" s="19"/>
      <c r="W432" s="19">
        <f t="shared" si="36"/>
        <v>355502.63699436</v>
      </c>
      <c r="X432" s="19">
        <f t="shared" si="37"/>
        <v>355704.854</v>
      </c>
      <c r="Y432" s="19"/>
    </row>
    <row r="433" ht="14.25" customHeight="1" spans="1:25">
      <c r="A433" s="10" t="s">
        <v>458</v>
      </c>
      <c r="B433">
        <v>2.48</v>
      </c>
      <c r="C433">
        <v>2.275</v>
      </c>
      <c r="D433">
        <v>2.1</v>
      </c>
      <c r="E433">
        <v>247</v>
      </c>
      <c r="F433">
        <v>29</v>
      </c>
      <c r="G433">
        <v>42</v>
      </c>
      <c r="H433" s="5">
        <f t="shared" si="0"/>
        <v>247.495</v>
      </c>
      <c r="I433">
        <v>79</v>
      </c>
      <c r="J433">
        <v>55</v>
      </c>
      <c r="K433">
        <v>14</v>
      </c>
      <c r="L433" s="5">
        <f t="shared" si="1"/>
        <v>79.9205555555556</v>
      </c>
      <c r="M433" s="5">
        <f t="shared" si="28"/>
        <v>36.836070278649</v>
      </c>
      <c r="N433" s="5">
        <f t="shared" si="29"/>
        <v>6.54786965471154</v>
      </c>
      <c r="O433">
        <v>1.58</v>
      </c>
      <c r="P433">
        <v>1495.684</v>
      </c>
      <c r="Q433" s="5">
        <f t="shared" si="17"/>
        <v>1501.53686965471</v>
      </c>
      <c r="T433" s="19"/>
      <c r="U433" s="19">
        <v>305.79</v>
      </c>
      <c r="V433" s="19"/>
      <c r="W433" s="19">
        <f t="shared" si="36"/>
        <v>355504.09449543</v>
      </c>
      <c r="X433" s="19">
        <f t="shared" si="37"/>
        <v>355704.854</v>
      </c>
      <c r="Y433" s="19"/>
    </row>
    <row r="434" ht="14.25" customHeight="1" spans="1:25">
      <c r="A434" s="10" t="s">
        <v>459</v>
      </c>
      <c r="B434">
        <v>1.148</v>
      </c>
      <c r="C434">
        <v>1.174</v>
      </c>
      <c r="D434">
        <v>1</v>
      </c>
      <c r="E434">
        <v>252</v>
      </c>
      <c r="F434">
        <v>0</v>
      </c>
      <c r="G434">
        <v>54</v>
      </c>
      <c r="H434" s="5">
        <f t="shared" si="0"/>
        <v>252.015</v>
      </c>
      <c r="I434">
        <v>82</v>
      </c>
      <c r="J434">
        <v>15</v>
      </c>
      <c r="K434">
        <v>48</v>
      </c>
      <c r="L434" s="5">
        <f t="shared" si="1"/>
        <v>82.2633333333333</v>
      </c>
      <c r="M434" s="5">
        <f t="shared" si="28"/>
        <v>14.5317849814491</v>
      </c>
      <c r="N434" s="5">
        <f t="shared" si="29"/>
        <v>1.97424491347372</v>
      </c>
      <c r="O434">
        <v>1.58</v>
      </c>
      <c r="P434">
        <v>1495.684</v>
      </c>
      <c r="Q434" s="5">
        <f t="shared" si="17"/>
        <v>1498.06424491347</v>
      </c>
      <c r="T434" s="19"/>
      <c r="U434" s="19">
        <v>306.79</v>
      </c>
      <c r="V434" s="19"/>
      <c r="W434" s="19">
        <f t="shared" si="36"/>
        <v>355503.031338727</v>
      </c>
      <c r="X434" s="19">
        <f t="shared" si="37"/>
        <v>355704.854</v>
      </c>
      <c r="Y434" s="19"/>
    </row>
    <row r="435" ht="14.25" customHeight="1" spans="1:25">
      <c r="A435" s="10" t="s">
        <v>460</v>
      </c>
      <c r="B435">
        <v>1.336</v>
      </c>
      <c r="C435">
        <v>1.166</v>
      </c>
      <c r="D435">
        <v>1</v>
      </c>
      <c r="E435">
        <v>257</v>
      </c>
      <c r="F435">
        <v>0</v>
      </c>
      <c r="G435">
        <v>20</v>
      </c>
      <c r="H435" s="5">
        <f t="shared" si="0"/>
        <v>257.005555555556</v>
      </c>
      <c r="I435">
        <v>83</v>
      </c>
      <c r="J435">
        <v>7</v>
      </c>
      <c r="K435">
        <v>15</v>
      </c>
      <c r="L435" s="5">
        <f t="shared" si="1"/>
        <v>83.1208333333333</v>
      </c>
      <c r="M435" s="5">
        <f t="shared" si="28"/>
        <v>33.1179658240668</v>
      </c>
      <c r="N435" s="5">
        <f t="shared" si="29"/>
        <v>3.99549638525551</v>
      </c>
      <c r="O435">
        <v>1.58</v>
      </c>
      <c r="P435">
        <v>1495.684</v>
      </c>
      <c r="Q435" s="5">
        <f t="shared" si="17"/>
        <v>1500.09349638526</v>
      </c>
      <c r="T435" s="19"/>
      <c r="U435" s="19">
        <v>307.79</v>
      </c>
      <c r="V435" s="19"/>
      <c r="W435" s="19">
        <f t="shared" si="36"/>
        <v>355501.752282756</v>
      </c>
      <c r="X435" s="19">
        <f t="shared" si="37"/>
        <v>355704.854</v>
      </c>
      <c r="Y435" s="19"/>
    </row>
    <row r="436" ht="14.25" customHeight="1" spans="1:25">
      <c r="A436" s="10" t="s">
        <v>461</v>
      </c>
      <c r="B436">
        <v>4.91</v>
      </c>
      <c r="C436">
        <v>4.75</v>
      </c>
      <c r="D436">
        <v>4.6</v>
      </c>
      <c r="E436">
        <v>259</v>
      </c>
      <c r="F436">
        <v>1</v>
      </c>
      <c r="G436">
        <v>11</v>
      </c>
      <c r="H436" s="5">
        <f t="shared" si="0"/>
        <v>259.019722222222</v>
      </c>
      <c r="I436">
        <v>77</v>
      </c>
      <c r="J436">
        <v>7</v>
      </c>
      <c r="K436">
        <v>35</v>
      </c>
      <c r="L436" s="5">
        <f t="shared" si="1"/>
        <v>77.1263888888889</v>
      </c>
      <c r="M436" s="5">
        <f t="shared" si="28"/>
        <v>29.4611491618499</v>
      </c>
      <c r="N436" s="5">
        <f t="shared" si="29"/>
        <v>6.73322464207001</v>
      </c>
      <c r="O436">
        <v>1.58</v>
      </c>
      <c r="P436">
        <v>1495.684</v>
      </c>
      <c r="Q436" s="5">
        <f t="shared" si="17"/>
        <v>1499.24722464207</v>
      </c>
      <c r="T436" s="19"/>
      <c r="U436" s="19">
        <v>308.79</v>
      </c>
      <c r="V436" s="19"/>
      <c r="W436" s="19">
        <f t="shared" si="36"/>
        <v>355502.961772822</v>
      </c>
      <c r="X436" s="19">
        <f t="shared" si="37"/>
        <v>355704.854</v>
      </c>
      <c r="Y436" s="19"/>
    </row>
    <row r="437" ht="14.25" customHeight="1" spans="1:25">
      <c r="A437" s="10" t="s">
        <v>462</v>
      </c>
      <c r="B437">
        <v>1.572</v>
      </c>
      <c r="C437">
        <v>1.436</v>
      </c>
      <c r="D437">
        <v>1.3</v>
      </c>
      <c r="E437">
        <v>253</v>
      </c>
      <c r="F437">
        <v>18</v>
      </c>
      <c r="G437">
        <v>4</v>
      </c>
      <c r="H437" s="5">
        <f t="shared" si="0"/>
        <v>253.301111111111</v>
      </c>
      <c r="I437">
        <v>82</v>
      </c>
      <c r="J437">
        <v>35</v>
      </c>
      <c r="K437">
        <v>14</v>
      </c>
      <c r="L437" s="5">
        <f t="shared" si="1"/>
        <v>82.5872222222222</v>
      </c>
      <c r="M437" s="5">
        <f t="shared" si="28"/>
        <v>26.7472472460502</v>
      </c>
      <c r="N437" s="5">
        <f t="shared" si="29"/>
        <v>3.47992670199034</v>
      </c>
      <c r="O437">
        <v>1.58</v>
      </c>
      <c r="P437">
        <v>1495.684</v>
      </c>
      <c r="Q437" s="5">
        <f t="shared" si="17"/>
        <v>1499.30792670199</v>
      </c>
      <c r="T437" s="19"/>
      <c r="U437" s="19">
        <v>309.79</v>
      </c>
      <c r="V437" s="19"/>
      <c r="W437" s="19">
        <f t="shared" si="36"/>
        <v>355510.218634049</v>
      </c>
      <c r="X437" s="19">
        <f t="shared" si="37"/>
        <v>355704.854</v>
      </c>
      <c r="Y437" s="19"/>
    </row>
    <row r="438" ht="14.25" customHeight="1" spans="1:25">
      <c r="A438" s="10" t="s">
        <v>463</v>
      </c>
      <c r="B438">
        <v>1.234</v>
      </c>
      <c r="C438">
        <v>1.112</v>
      </c>
      <c r="D438">
        <v>1</v>
      </c>
      <c r="E438">
        <v>247</v>
      </c>
      <c r="F438">
        <v>5</v>
      </c>
      <c r="G438">
        <v>22</v>
      </c>
      <c r="H438" s="5">
        <f t="shared" si="0"/>
        <v>247.089444444444</v>
      </c>
      <c r="I438">
        <v>82</v>
      </c>
      <c r="J438">
        <v>14</v>
      </c>
      <c r="K438">
        <v>19</v>
      </c>
      <c r="L438" s="5">
        <f t="shared" si="1"/>
        <v>82.2386111111111</v>
      </c>
      <c r="M438" s="5">
        <f t="shared" si="28"/>
        <v>22.973232405128</v>
      </c>
      <c r="N438" s="5">
        <f t="shared" si="29"/>
        <v>3.13117088961488</v>
      </c>
      <c r="O438">
        <v>1.58</v>
      </c>
      <c r="P438">
        <v>1495.684</v>
      </c>
      <c r="Q438" s="5">
        <f t="shared" si="17"/>
        <v>1499.28317088961</v>
      </c>
      <c r="T438" s="19"/>
      <c r="U438" s="19">
        <v>310.79</v>
      </c>
      <c r="V438" s="19"/>
      <c r="W438" s="19">
        <f t="shared" si="36"/>
        <v>355517.780336292</v>
      </c>
      <c r="X438" s="19">
        <f t="shared" si="37"/>
        <v>355704.854</v>
      </c>
      <c r="Y438" s="19"/>
    </row>
    <row r="439" ht="14.25" customHeight="1" spans="1:25">
      <c r="A439" s="10" t="s">
        <v>464</v>
      </c>
      <c r="B439">
        <v>1.456</v>
      </c>
      <c r="C439">
        <v>1.226</v>
      </c>
      <c r="D439">
        <v>1</v>
      </c>
      <c r="E439">
        <v>204</v>
      </c>
      <c r="F439">
        <v>9</v>
      </c>
      <c r="G439">
        <v>52</v>
      </c>
      <c r="H439" s="5">
        <f t="shared" si="0"/>
        <v>204.164444444444</v>
      </c>
      <c r="I439">
        <v>87</v>
      </c>
      <c r="J439">
        <v>31</v>
      </c>
      <c r="K439">
        <v>26</v>
      </c>
      <c r="L439" s="5">
        <f t="shared" si="1"/>
        <v>87.5238888888889</v>
      </c>
      <c r="M439" s="5">
        <f t="shared" si="28"/>
        <v>45.5148882639076</v>
      </c>
      <c r="N439" s="5">
        <f t="shared" si="29"/>
        <v>1.96821014076042</v>
      </c>
      <c r="O439">
        <v>1.58</v>
      </c>
      <c r="P439">
        <v>1495.684</v>
      </c>
      <c r="Q439" s="5">
        <f t="shared" si="17"/>
        <v>1498.00621014076</v>
      </c>
      <c r="T439" s="19"/>
      <c r="U439" s="19">
        <v>311.79</v>
      </c>
      <c r="V439" s="19"/>
      <c r="W439" s="19">
        <f t="shared" si="36"/>
        <v>355552.630558263</v>
      </c>
      <c r="X439" s="19">
        <f t="shared" si="37"/>
        <v>355704.854</v>
      </c>
      <c r="Y439" s="19"/>
    </row>
    <row r="440" ht="14.25" customHeight="1" spans="1:25">
      <c r="A440" s="10" t="s">
        <v>465</v>
      </c>
      <c r="B440">
        <v>1.045</v>
      </c>
      <c r="C440">
        <v>0.822</v>
      </c>
      <c r="D440">
        <v>0.6</v>
      </c>
      <c r="E440">
        <v>201</v>
      </c>
      <c r="F440">
        <v>43</v>
      </c>
      <c r="G440">
        <v>52</v>
      </c>
      <c r="H440" s="5">
        <f t="shared" si="0"/>
        <v>201.731111111111</v>
      </c>
      <c r="I440">
        <v>87</v>
      </c>
      <c r="J440">
        <v>45</v>
      </c>
      <c r="K440">
        <v>29</v>
      </c>
      <c r="L440" s="5">
        <f t="shared" si="1"/>
        <v>87.7580555555556</v>
      </c>
      <c r="M440" s="5">
        <f t="shared" si="28"/>
        <v>44.4319006795708</v>
      </c>
      <c r="N440" s="5">
        <f t="shared" si="29"/>
        <v>1.73947757722101</v>
      </c>
      <c r="O440">
        <v>1.58</v>
      </c>
      <c r="P440">
        <v>1495.684</v>
      </c>
      <c r="Q440" s="5">
        <f t="shared" si="17"/>
        <v>1498.18147757722</v>
      </c>
      <c r="T440" s="19"/>
      <c r="U440" s="19">
        <v>312.79</v>
      </c>
      <c r="V440" s="19"/>
      <c r="W440" s="19">
        <f t="shared" si="36"/>
        <v>355556.813939271</v>
      </c>
      <c r="X440" s="19">
        <f t="shared" si="37"/>
        <v>355704.854</v>
      </c>
      <c r="Y440" s="19"/>
    </row>
    <row r="441" ht="14.25" customHeight="1" spans="1:25">
      <c r="A441" s="10" t="s">
        <v>466</v>
      </c>
      <c r="B441">
        <v>1.382</v>
      </c>
      <c r="C441">
        <v>1.191</v>
      </c>
      <c r="D441">
        <v>1</v>
      </c>
      <c r="E441">
        <v>208</v>
      </c>
      <c r="F441">
        <v>47</v>
      </c>
      <c r="G441">
        <v>50</v>
      </c>
      <c r="H441" s="5">
        <f t="shared" si="0"/>
        <v>208.797222222222</v>
      </c>
      <c r="I441">
        <v>87</v>
      </c>
      <c r="J441">
        <v>32</v>
      </c>
      <c r="K441">
        <v>31</v>
      </c>
      <c r="L441" s="5">
        <f t="shared" si="1"/>
        <v>87.5419444444444</v>
      </c>
      <c r="M441" s="5">
        <f t="shared" si="28"/>
        <v>38.1297356506009</v>
      </c>
      <c r="N441" s="5">
        <f t="shared" si="29"/>
        <v>1.63681430475472</v>
      </c>
      <c r="O441">
        <v>1.58</v>
      </c>
      <c r="P441">
        <v>1495.684</v>
      </c>
      <c r="Q441" s="5">
        <f t="shared" si="17"/>
        <v>1497.70981430475</v>
      </c>
      <c r="T441" s="19"/>
      <c r="U441" s="19">
        <v>313.79</v>
      </c>
      <c r="V441" s="19"/>
      <c r="W441" s="19">
        <f t="shared" si="36"/>
        <v>355554.127248587</v>
      </c>
      <c r="X441" s="19">
        <f t="shared" si="37"/>
        <v>355704.854</v>
      </c>
      <c r="Y441" s="19"/>
    </row>
    <row r="442" ht="14.25" customHeight="1" spans="1:25">
      <c r="A442" s="10" t="s">
        <v>467</v>
      </c>
      <c r="B442">
        <v>1.458</v>
      </c>
      <c r="C442">
        <v>1.228</v>
      </c>
      <c r="D442">
        <v>1</v>
      </c>
      <c r="E442">
        <v>204</v>
      </c>
      <c r="F442">
        <v>26</v>
      </c>
      <c r="G442">
        <v>8</v>
      </c>
      <c r="H442" s="5">
        <f t="shared" si="0"/>
        <v>204.435555555556</v>
      </c>
      <c r="I442">
        <v>86</v>
      </c>
      <c r="J442">
        <v>56</v>
      </c>
      <c r="K442">
        <v>23</v>
      </c>
      <c r="L442" s="5">
        <f t="shared" si="1"/>
        <v>86.9397222222222</v>
      </c>
      <c r="M442" s="5">
        <f t="shared" si="28"/>
        <v>45.6694644265828</v>
      </c>
      <c r="N442" s="5">
        <f t="shared" si="29"/>
        <v>2.44161621197553</v>
      </c>
      <c r="O442">
        <v>1.58</v>
      </c>
      <c r="P442">
        <v>1495.684</v>
      </c>
      <c r="Q442" s="5">
        <f t="shared" si="17"/>
        <v>1498.47761621198</v>
      </c>
      <c r="T442" s="19"/>
      <c r="U442" s="19">
        <v>314.79</v>
      </c>
      <c r="V442" s="19"/>
      <c r="W442" s="19">
        <f t="shared" si="36"/>
        <v>355559.767372716</v>
      </c>
      <c r="X442" s="19">
        <f t="shared" si="37"/>
        <v>355704.854</v>
      </c>
      <c r="Y442" s="19"/>
    </row>
    <row r="443" ht="14.25" customHeight="1" spans="1:25">
      <c r="A443" s="10" t="s">
        <v>468</v>
      </c>
      <c r="B443">
        <v>1.386</v>
      </c>
      <c r="C443">
        <v>1.193</v>
      </c>
      <c r="D443">
        <v>1</v>
      </c>
      <c r="E443">
        <v>210</v>
      </c>
      <c r="F443">
        <v>22</v>
      </c>
      <c r="G443">
        <v>2</v>
      </c>
      <c r="H443" s="5">
        <f t="shared" si="0"/>
        <v>210.367222222222</v>
      </c>
      <c r="I443">
        <v>86</v>
      </c>
      <c r="J443">
        <v>28</v>
      </c>
      <c r="K443">
        <v>51</v>
      </c>
      <c r="L443" s="5">
        <f t="shared" si="1"/>
        <v>86.4808333333333</v>
      </c>
      <c r="M443" s="5">
        <f t="shared" si="28"/>
        <v>38.4545627982166</v>
      </c>
      <c r="N443" s="5">
        <f t="shared" si="29"/>
        <v>2.36489407990663</v>
      </c>
      <c r="O443">
        <v>1.58</v>
      </c>
      <c r="P443">
        <v>1495.684</v>
      </c>
      <c r="Q443" s="5">
        <f t="shared" si="17"/>
        <v>1498.43589407991</v>
      </c>
      <c r="T443" s="19"/>
      <c r="U443" s="19">
        <v>315.79</v>
      </c>
      <c r="V443" s="19"/>
      <c r="W443" s="19">
        <f t="shared" si="36"/>
        <v>355558.16699413</v>
      </c>
      <c r="X443" s="19">
        <f t="shared" si="37"/>
        <v>355704.854</v>
      </c>
      <c r="Y443" s="19"/>
    </row>
    <row r="444" ht="14.25" customHeight="1" spans="1:25">
      <c r="A444" s="6" t="s">
        <v>469</v>
      </c>
      <c r="B444" s="7">
        <v>1.976</v>
      </c>
      <c r="C444" s="7">
        <v>1.886</v>
      </c>
      <c r="D444" s="7">
        <v>1.8</v>
      </c>
      <c r="E444" s="7">
        <v>54</v>
      </c>
      <c r="F444" s="7">
        <v>54</v>
      </c>
      <c r="G444" s="7">
        <v>30</v>
      </c>
      <c r="H444" s="8">
        <f t="shared" si="0"/>
        <v>54.9083333333333</v>
      </c>
      <c r="I444" s="7">
        <v>85</v>
      </c>
      <c r="J444" s="7">
        <v>0</v>
      </c>
      <c r="K444" s="7">
        <v>19</v>
      </c>
      <c r="L444" s="8">
        <f t="shared" si="1"/>
        <v>85.0052777777778</v>
      </c>
      <c r="M444" s="8">
        <f t="shared" si="28"/>
        <v>17.4665896008058</v>
      </c>
      <c r="N444" s="8">
        <f t="shared" si="29"/>
        <v>1.52650735052448</v>
      </c>
      <c r="O444" s="7">
        <v>1.52</v>
      </c>
      <c r="P444" s="7">
        <v>1505.676</v>
      </c>
      <c r="Q444" s="8">
        <f t="shared" si="17"/>
        <v>1506.83650735052</v>
      </c>
      <c r="R444" s="18" t="s">
        <v>470</v>
      </c>
      <c r="S444" s="7">
        <v>355760.607</v>
      </c>
      <c r="T444" s="7">
        <v>3055731.499</v>
      </c>
      <c r="U444" s="7">
        <v>144.4941667</v>
      </c>
      <c r="V444" s="7"/>
      <c r="W444" s="7">
        <f>$S$444+(H444*SIN(U444*3.141592654/180))</f>
        <v>355792.496982376</v>
      </c>
      <c r="X444" s="7">
        <f>$S$444+(I444*SIN(V444*3.141592654/180))</f>
        <v>355760.607</v>
      </c>
      <c r="Y444" s="7"/>
    </row>
    <row r="445" ht="14.25" customHeight="1" spans="1:25">
      <c r="A445" s="10" t="s">
        <v>471</v>
      </c>
      <c r="B445">
        <v>2.6</v>
      </c>
      <c r="C445">
        <v>2.45</v>
      </c>
      <c r="D445">
        <v>2.3</v>
      </c>
      <c r="E445">
        <v>14</v>
      </c>
      <c r="F445">
        <v>36</v>
      </c>
      <c r="G445">
        <v>13</v>
      </c>
      <c r="H445" s="5">
        <f t="shared" si="0"/>
        <v>14.6036111111111</v>
      </c>
      <c r="I445">
        <v>80</v>
      </c>
      <c r="J445">
        <v>4</v>
      </c>
      <c r="K445">
        <v>0</v>
      </c>
      <c r="L445" s="5">
        <f t="shared" si="1"/>
        <v>80.0666666666667</v>
      </c>
      <c r="M445" s="5">
        <f t="shared" si="28"/>
        <v>29.1072898900165</v>
      </c>
      <c r="N445" s="5">
        <f t="shared" si="29"/>
        <v>5.09748682774562</v>
      </c>
      <c r="O445">
        <v>1.52</v>
      </c>
      <c r="P445">
        <v>1505.676</v>
      </c>
      <c r="Q445" s="5">
        <f t="shared" si="17"/>
        <v>1509.84348682775</v>
      </c>
      <c r="T445" s="26"/>
      <c r="U445" s="26">
        <v>145.4941667</v>
      </c>
      <c r="V445" s="26"/>
      <c r="W445" s="26">
        <f t="shared" ref="W445:W476" si="38">$S$444+(H445*SIN(U445*3.141592654/180))</f>
        <v>355768.879801677</v>
      </c>
      <c r="X445" s="26">
        <f t="shared" ref="X445:X476" si="39">$S$444+(I445*SIN(V445*3.141592654/180))</f>
        <v>355760.607</v>
      </c>
      <c r="Y445" s="26"/>
    </row>
    <row r="446" ht="14.25" customHeight="1" spans="1:25">
      <c r="A446" s="10" t="s">
        <v>472</v>
      </c>
      <c r="B446">
        <v>1.72</v>
      </c>
      <c r="C446">
        <v>1.61</v>
      </c>
      <c r="D446">
        <v>1.5</v>
      </c>
      <c r="E446">
        <v>6</v>
      </c>
      <c r="F446">
        <v>6</v>
      </c>
      <c r="G446">
        <v>7</v>
      </c>
      <c r="H446" s="5">
        <f t="shared" si="0"/>
        <v>6.10194444444444</v>
      </c>
      <c r="I446">
        <v>81</v>
      </c>
      <c r="J446">
        <v>22</v>
      </c>
      <c r="K446">
        <v>13</v>
      </c>
      <c r="L446" s="5">
        <f t="shared" si="1"/>
        <v>81.3702777777778</v>
      </c>
      <c r="M446" s="5">
        <f t="shared" si="28"/>
        <v>21.5046815561892</v>
      </c>
      <c r="N446" s="5">
        <f t="shared" si="29"/>
        <v>3.26368892559609</v>
      </c>
      <c r="O446">
        <v>1.52</v>
      </c>
      <c r="P446">
        <v>1505.676</v>
      </c>
      <c r="Q446" s="5">
        <f t="shared" si="17"/>
        <v>1508.8496889256</v>
      </c>
      <c r="T446" s="26"/>
      <c r="U446" s="26">
        <v>146.4941667</v>
      </c>
      <c r="V446" s="26"/>
      <c r="W446" s="26">
        <f t="shared" si="38"/>
        <v>355763.975406846</v>
      </c>
      <c r="X446" s="26">
        <f t="shared" si="39"/>
        <v>355760.607</v>
      </c>
      <c r="Y446" s="26"/>
    </row>
    <row r="447" ht="14.25" customHeight="1" spans="1:25">
      <c r="A447" s="10" t="s">
        <v>473</v>
      </c>
      <c r="B447">
        <v>1.212</v>
      </c>
      <c r="C447">
        <v>1.104</v>
      </c>
      <c r="D447">
        <v>1</v>
      </c>
      <c r="E447">
        <v>357</v>
      </c>
      <c r="F447">
        <v>51</v>
      </c>
      <c r="G447">
        <v>22</v>
      </c>
      <c r="H447" s="5">
        <f t="shared" si="0"/>
        <v>357.856111111111</v>
      </c>
      <c r="I447">
        <v>82</v>
      </c>
      <c r="J447">
        <v>7</v>
      </c>
      <c r="K447">
        <v>4</v>
      </c>
      <c r="L447" s="5">
        <f t="shared" si="1"/>
        <v>82.1177777777778</v>
      </c>
      <c r="M447" s="5">
        <f t="shared" si="28"/>
        <v>20.8012998137996</v>
      </c>
      <c r="N447" s="5">
        <f t="shared" si="29"/>
        <v>2.87984063950981</v>
      </c>
      <c r="O447">
        <v>1.52</v>
      </c>
      <c r="P447">
        <v>1505.676</v>
      </c>
      <c r="Q447" s="5">
        <f t="shared" si="17"/>
        <v>1508.97184063951</v>
      </c>
      <c r="T447" s="26"/>
      <c r="U447" s="26">
        <v>147.4941667</v>
      </c>
      <c r="V447" s="26"/>
      <c r="W447" s="26">
        <f t="shared" si="38"/>
        <v>355952.913674894</v>
      </c>
      <c r="X447" s="26">
        <f t="shared" si="39"/>
        <v>355760.607</v>
      </c>
      <c r="Y447" s="26"/>
    </row>
    <row r="448" ht="14.25" customHeight="1" spans="1:25">
      <c r="A448" s="10" t="s">
        <v>474</v>
      </c>
      <c r="B448">
        <v>1.12</v>
      </c>
      <c r="C448">
        <v>1.06</v>
      </c>
      <c r="D448">
        <v>1</v>
      </c>
      <c r="E448">
        <v>38</v>
      </c>
      <c r="F448">
        <v>12</v>
      </c>
      <c r="G448">
        <v>6</v>
      </c>
      <c r="H448" s="5">
        <f t="shared" si="0"/>
        <v>38.2016666666667</v>
      </c>
      <c r="I448">
        <v>88</v>
      </c>
      <c r="J448">
        <v>35</v>
      </c>
      <c r="K448">
        <v>57</v>
      </c>
      <c r="L448" s="5">
        <f t="shared" si="1"/>
        <v>88.5991666666667</v>
      </c>
      <c r="M448" s="5">
        <f t="shared" si="28"/>
        <v>11.9928282956199</v>
      </c>
      <c r="N448" s="5">
        <f t="shared" si="29"/>
        <v>0.293272943206511</v>
      </c>
      <c r="O448">
        <v>1.52</v>
      </c>
      <c r="P448">
        <v>1505.676</v>
      </c>
      <c r="Q448" s="5">
        <f t="shared" si="17"/>
        <v>1506.42927294321</v>
      </c>
      <c r="T448" s="26"/>
      <c r="U448" s="26">
        <v>148.4941667</v>
      </c>
      <c r="V448" s="26"/>
      <c r="W448" s="26">
        <f t="shared" si="38"/>
        <v>355780.570632081</v>
      </c>
      <c r="X448" s="26">
        <f t="shared" si="39"/>
        <v>355760.607</v>
      </c>
      <c r="Y448" s="26"/>
    </row>
    <row r="449" ht="14.25" customHeight="1" spans="1:25">
      <c r="A449" s="10" t="s">
        <v>475</v>
      </c>
      <c r="B449">
        <v>1.098</v>
      </c>
      <c r="C449">
        <v>1.048</v>
      </c>
      <c r="D449">
        <v>1</v>
      </c>
      <c r="E449">
        <v>23</v>
      </c>
      <c r="F449">
        <v>37</v>
      </c>
      <c r="G449">
        <v>12</v>
      </c>
      <c r="H449" s="5">
        <f t="shared" si="0"/>
        <v>23.62</v>
      </c>
      <c r="I449">
        <v>87</v>
      </c>
      <c r="J449">
        <v>29</v>
      </c>
      <c r="K449">
        <v>10</v>
      </c>
      <c r="L449" s="5">
        <f t="shared" si="1"/>
        <v>87.4861111111111</v>
      </c>
      <c r="M449" s="5">
        <f t="shared" si="28"/>
        <v>9.78114640093774</v>
      </c>
      <c r="N449" s="5">
        <f t="shared" si="29"/>
        <v>0.429429636392989</v>
      </c>
      <c r="O449">
        <v>1.52</v>
      </c>
      <c r="P449">
        <v>1505.676</v>
      </c>
      <c r="Q449" s="5">
        <f t="shared" si="17"/>
        <v>1506.57742963639</v>
      </c>
      <c r="T449" s="26"/>
      <c r="U449" s="26">
        <v>149.4941667</v>
      </c>
      <c r="V449" s="26"/>
      <c r="W449" s="26">
        <f t="shared" si="38"/>
        <v>355772.597128075</v>
      </c>
      <c r="X449" s="26">
        <f t="shared" si="39"/>
        <v>355760.607</v>
      </c>
      <c r="Y449" s="26"/>
    </row>
    <row r="450" ht="14.25" customHeight="1" spans="1:25">
      <c r="A450" s="10" t="s">
        <v>476</v>
      </c>
      <c r="B450">
        <v>1.078</v>
      </c>
      <c r="C450">
        <v>1.038</v>
      </c>
      <c r="D450">
        <v>1</v>
      </c>
      <c r="E450">
        <v>84</v>
      </c>
      <c r="F450">
        <v>46</v>
      </c>
      <c r="G450">
        <v>37</v>
      </c>
      <c r="H450" s="5">
        <f t="shared" si="0"/>
        <v>84.7769444444444</v>
      </c>
      <c r="I450">
        <v>98</v>
      </c>
      <c r="J450">
        <v>54</v>
      </c>
      <c r="K450">
        <v>38</v>
      </c>
      <c r="L450" s="5">
        <f t="shared" si="1"/>
        <v>98.9105555555556</v>
      </c>
      <c r="M450" s="5">
        <f t="shared" si="28"/>
        <v>7.61286509923351</v>
      </c>
      <c r="N450" s="5">
        <f t="shared" si="29"/>
        <v>-1.19357980667143</v>
      </c>
      <c r="O450">
        <v>1.52</v>
      </c>
      <c r="P450">
        <v>1505.676</v>
      </c>
      <c r="Q450" s="5">
        <f t="shared" si="17"/>
        <v>1504.96442019333</v>
      </c>
      <c r="T450" s="26"/>
      <c r="U450" s="26">
        <v>150.4941667</v>
      </c>
      <c r="V450" s="26"/>
      <c r="W450" s="26">
        <f t="shared" si="38"/>
        <v>355802.36067674</v>
      </c>
      <c r="X450" s="26">
        <f t="shared" si="39"/>
        <v>355760.607</v>
      </c>
      <c r="Y450" s="26"/>
    </row>
    <row r="451" ht="14.25" customHeight="1" spans="1:25">
      <c r="A451" s="10" t="s">
        <v>477</v>
      </c>
      <c r="B451">
        <v>1.118</v>
      </c>
      <c r="C451">
        <v>1.059</v>
      </c>
      <c r="D451">
        <v>1</v>
      </c>
      <c r="E451">
        <v>84</v>
      </c>
      <c r="F451">
        <v>18</v>
      </c>
      <c r="G451">
        <v>54</v>
      </c>
      <c r="H451" s="5">
        <f t="shared" si="0"/>
        <v>84.315</v>
      </c>
      <c r="I451">
        <v>96</v>
      </c>
      <c r="J451">
        <v>35</v>
      </c>
      <c r="K451">
        <v>30</v>
      </c>
      <c r="L451" s="5">
        <f t="shared" si="1"/>
        <v>96.5916666666667</v>
      </c>
      <c r="M451" s="5">
        <f t="shared" si="28"/>
        <v>11.64450718892</v>
      </c>
      <c r="N451" s="5">
        <f t="shared" si="29"/>
        <v>-1.34559918120016</v>
      </c>
      <c r="O451">
        <v>1.52</v>
      </c>
      <c r="P451">
        <v>1505.676</v>
      </c>
      <c r="Q451" s="5">
        <f t="shared" si="17"/>
        <v>1504.7914008188</v>
      </c>
      <c r="T451" s="26"/>
      <c r="U451" s="26">
        <v>151.4941667</v>
      </c>
      <c r="V451" s="26"/>
      <c r="W451" s="26">
        <f t="shared" si="38"/>
        <v>355800.846184522</v>
      </c>
      <c r="X451" s="26">
        <f t="shared" si="39"/>
        <v>355760.607</v>
      </c>
      <c r="Y451" s="26"/>
    </row>
    <row r="452" ht="14.25" customHeight="1" spans="1:25">
      <c r="A452" s="10" t="s">
        <v>478</v>
      </c>
      <c r="B452">
        <v>1.584</v>
      </c>
      <c r="C452">
        <v>1.442</v>
      </c>
      <c r="D452">
        <v>1.3</v>
      </c>
      <c r="E452">
        <v>193</v>
      </c>
      <c r="F452">
        <v>1</v>
      </c>
      <c r="G452">
        <v>15</v>
      </c>
      <c r="H452" s="5">
        <f t="shared" si="0"/>
        <v>193.020833333333</v>
      </c>
      <c r="I452">
        <v>101</v>
      </c>
      <c r="J452">
        <v>31</v>
      </c>
      <c r="K452">
        <v>29</v>
      </c>
      <c r="L452" s="5">
        <f t="shared" si="1"/>
        <v>101.524722222222</v>
      </c>
      <c r="M452" s="5">
        <f t="shared" si="28"/>
        <v>27.2663759743815</v>
      </c>
      <c r="N452" s="5">
        <f t="shared" si="29"/>
        <v>-5.55965996227349</v>
      </c>
      <c r="O452">
        <v>1.52</v>
      </c>
      <c r="P452">
        <v>1505.676</v>
      </c>
      <c r="Q452" s="5">
        <f t="shared" si="17"/>
        <v>1500.19434003773</v>
      </c>
      <c r="T452" s="26"/>
      <c r="U452" s="26">
        <v>152.4941667</v>
      </c>
      <c r="V452" s="26"/>
      <c r="W452" s="26">
        <f t="shared" si="38"/>
        <v>355849.751532696</v>
      </c>
      <c r="X452" s="26">
        <f t="shared" si="39"/>
        <v>355760.607</v>
      </c>
      <c r="Y452" s="26"/>
    </row>
    <row r="453" ht="14.25" customHeight="1" spans="1:25">
      <c r="A453" s="10" t="s">
        <v>479</v>
      </c>
      <c r="B453">
        <v>1.972</v>
      </c>
      <c r="C453">
        <v>1.834</v>
      </c>
      <c r="D453">
        <v>1.7</v>
      </c>
      <c r="E453">
        <v>194</v>
      </c>
      <c r="F453">
        <v>5</v>
      </c>
      <c r="G453">
        <v>27</v>
      </c>
      <c r="H453" s="5">
        <f t="shared" si="0"/>
        <v>194.090833333333</v>
      </c>
      <c r="I453">
        <v>101</v>
      </c>
      <c r="J453">
        <v>28</v>
      </c>
      <c r="K453">
        <v>21</v>
      </c>
      <c r="L453" s="5">
        <f t="shared" si="1"/>
        <v>101.4725</v>
      </c>
      <c r="M453" s="5">
        <f t="shared" si="28"/>
        <v>26.1239612577272</v>
      </c>
      <c r="N453" s="5">
        <f t="shared" si="29"/>
        <v>-5.30192365231228</v>
      </c>
      <c r="O453">
        <v>1.52</v>
      </c>
      <c r="P453">
        <v>1505.676</v>
      </c>
      <c r="Q453" s="5">
        <f t="shared" si="17"/>
        <v>1500.06007634769</v>
      </c>
      <c r="T453" s="26"/>
      <c r="U453" s="26">
        <v>153.4941667</v>
      </c>
      <c r="V453" s="26"/>
      <c r="W453" s="26">
        <f t="shared" si="38"/>
        <v>355847.227589169</v>
      </c>
      <c r="X453" s="26">
        <f t="shared" si="39"/>
        <v>355760.607</v>
      </c>
      <c r="Y453" s="26"/>
    </row>
    <row r="454" ht="14.25" customHeight="1" spans="1:25">
      <c r="A454" s="10" t="s">
        <v>480</v>
      </c>
      <c r="B454">
        <v>2.41</v>
      </c>
      <c r="C454">
        <v>2.205</v>
      </c>
      <c r="D454">
        <v>2.1</v>
      </c>
      <c r="E454">
        <v>210</v>
      </c>
      <c r="F454">
        <v>22</v>
      </c>
      <c r="G454">
        <v>9</v>
      </c>
      <c r="H454" s="5">
        <f t="shared" si="0"/>
        <v>210.369166666667</v>
      </c>
      <c r="I454">
        <v>98</v>
      </c>
      <c r="J454">
        <v>37</v>
      </c>
      <c r="K454">
        <v>33</v>
      </c>
      <c r="L454" s="5">
        <f t="shared" si="1"/>
        <v>98.6258333333333</v>
      </c>
      <c r="M454" s="5">
        <f t="shared" si="28"/>
        <v>30.30267542913</v>
      </c>
      <c r="N454" s="5">
        <f t="shared" si="29"/>
        <v>-4.59682500644002</v>
      </c>
      <c r="O454">
        <v>1.52</v>
      </c>
      <c r="P454">
        <v>1505.676</v>
      </c>
      <c r="Q454" s="5">
        <f t="shared" si="17"/>
        <v>1500.39417499356</v>
      </c>
      <c r="T454" s="26"/>
      <c r="U454" s="26">
        <v>154.4941667</v>
      </c>
      <c r="V454" s="26"/>
      <c r="W454" s="26">
        <f t="shared" si="38"/>
        <v>355851.192591483</v>
      </c>
      <c r="X454" s="26">
        <f t="shared" si="39"/>
        <v>355760.607</v>
      </c>
      <c r="Y454" s="26"/>
    </row>
    <row r="455" ht="14.25" customHeight="1" spans="1:25">
      <c r="A455" s="10" t="s">
        <v>481</v>
      </c>
      <c r="B455">
        <v>1.254</v>
      </c>
      <c r="C455">
        <v>1.126</v>
      </c>
      <c r="D455">
        <v>1</v>
      </c>
      <c r="E455">
        <v>147</v>
      </c>
      <c r="F455">
        <v>29</v>
      </c>
      <c r="G455">
        <v>55</v>
      </c>
      <c r="H455" s="5">
        <f t="shared" si="0"/>
        <v>147.498611111111</v>
      </c>
      <c r="I455">
        <v>100</v>
      </c>
      <c r="J455">
        <v>31</v>
      </c>
      <c r="K455">
        <v>39</v>
      </c>
      <c r="L455" s="5">
        <f t="shared" si="1"/>
        <v>100.5275</v>
      </c>
      <c r="M455" s="5">
        <f t="shared" si="28"/>
        <v>24.5520970461019</v>
      </c>
      <c r="N455" s="5">
        <f t="shared" si="29"/>
        <v>-4.56265225606582</v>
      </c>
      <c r="O455">
        <v>1.52</v>
      </c>
      <c r="P455">
        <v>1505.676</v>
      </c>
      <c r="Q455" s="5">
        <f t="shared" si="17"/>
        <v>1501.50734774393</v>
      </c>
      <c r="T455" s="26"/>
      <c r="U455" s="26">
        <v>155.4941667</v>
      </c>
      <c r="V455" s="26"/>
      <c r="W455" s="26">
        <f t="shared" si="38"/>
        <v>355821.78734174</v>
      </c>
      <c r="X455" s="26">
        <f t="shared" si="39"/>
        <v>355760.607</v>
      </c>
      <c r="Y455" s="26"/>
    </row>
    <row r="456" ht="14.25" customHeight="1" spans="1:25">
      <c r="A456" s="10" t="s">
        <v>482</v>
      </c>
      <c r="B456">
        <v>1.816</v>
      </c>
      <c r="C456">
        <v>1.656</v>
      </c>
      <c r="D456">
        <v>1.5</v>
      </c>
      <c r="E456">
        <v>211</v>
      </c>
      <c r="F456">
        <v>2</v>
      </c>
      <c r="G456">
        <v>22</v>
      </c>
      <c r="H456" s="5">
        <f t="shared" si="0"/>
        <v>211.039444444444</v>
      </c>
      <c r="I456">
        <v>98</v>
      </c>
      <c r="J456">
        <v>34</v>
      </c>
      <c r="K456">
        <v>36</v>
      </c>
      <c r="L456" s="5">
        <f t="shared" si="1"/>
        <v>98.5766666666667</v>
      </c>
      <c r="M456" s="5">
        <f t="shared" si="28"/>
        <v>30.8971985503699</v>
      </c>
      <c r="N456" s="5">
        <f t="shared" si="29"/>
        <v>-4.65989226599803</v>
      </c>
      <c r="O456">
        <v>1.52</v>
      </c>
      <c r="P456">
        <v>1505.676</v>
      </c>
      <c r="Q456" s="5">
        <f t="shared" si="17"/>
        <v>1500.880107734</v>
      </c>
      <c r="T456" s="26"/>
      <c r="U456" s="26">
        <v>156.4941667</v>
      </c>
      <c r="V456" s="26"/>
      <c r="W456" s="26">
        <f t="shared" si="38"/>
        <v>355844.778485415</v>
      </c>
      <c r="X456" s="26">
        <f t="shared" si="39"/>
        <v>355760.607</v>
      </c>
      <c r="Y456" s="26"/>
    </row>
    <row r="457" ht="14.25" customHeight="1" spans="1:25">
      <c r="A457" s="10" t="s">
        <v>483</v>
      </c>
      <c r="B457">
        <v>2.436</v>
      </c>
      <c r="C457">
        <v>2.268</v>
      </c>
      <c r="D457">
        <v>2.1</v>
      </c>
      <c r="E457">
        <v>214</v>
      </c>
      <c r="F457">
        <v>42</v>
      </c>
      <c r="G457">
        <v>21</v>
      </c>
      <c r="H457" s="5">
        <f t="shared" si="0"/>
        <v>214.705833333333</v>
      </c>
      <c r="I457">
        <v>96</v>
      </c>
      <c r="J457">
        <v>59</v>
      </c>
      <c r="K457">
        <v>15</v>
      </c>
      <c r="L457" s="5">
        <f t="shared" si="1"/>
        <v>96.9875</v>
      </c>
      <c r="M457" s="5">
        <f t="shared" si="28"/>
        <v>33.1027400297599</v>
      </c>
      <c r="N457" s="5">
        <f t="shared" si="29"/>
        <v>-4.05717482024914</v>
      </c>
      <c r="O457">
        <v>1.52</v>
      </c>
      <c r="P457">
        <v>1505.676</v>
      </c>
      <c r="Q457" s="5">
        <f t="shared" si="17"/>
        <v>1500.87082517975</v>
      </c>
      <c r="T457" s="26"/>
      <c r="U457" s="26">
        <v>157.4941667</v>
      </c>
      <c r="V457" s="26"/>
      <c r="W457" s="26">
        <f t="shared" si="38"/>
        <v>355842.791560078</v>
      </c>
      <c r="X457" s="26">
        <f t="shared" si="39"/>
        <v>355760.607</v>
      </c>
      <c r="Y457" s="26"/>
    </row>
    <row r="458" ht="14.25" customHeight="1" spans="1:25">
      <c r="A458" s="10" t="s">
        <v>484</v>
      </c>
      <c r="B458">
        <v>1.314</v>
      </c>
      <c r="C458">
        <v>1.158</v>
      </c>
      <c r="D458">
        <v>1</v>
      </c>
      <c r="E458">
        <v>218</v>
      </c>
      <c r="F458">
        <v>46</v>
      </c>
      <c r="G458">
        <v>11</v>
      </c>
      <c r="H458" s="5">
        <f t="shared" si="0"/>
        <v>218.769722222222</v>
      </c>
      <c r="I458">
        <v>96</v>
      </c>
      <c r="J458">
        <v>24</v>
      </c>
      <c r="K458">
        <v>31</v>
      </c>
      <c r="L458" s="5">
        <f t="shared" si="1"/>
        <v>96.4086111111111</v>
      </c>
      <c r="M458" s="5">
        <f t="shared" si="28"/>
        <v>31.0087986445478</v>
      </c>
      <c r="N458" s="5">
        <f t="shared" si="29"/>
        <v>-3.48291315721376</v>
      </c>
      <c r="O458">
        <v>1.52</v>
      </c>
      <c r="P458">
        <v>1505.676</v>
      </c>
      <c r="Q458" s="5">
        <f t="shared" si="17"/>
        <v>1502.55508684279</v>
      </c>
      <c r="T458" s="26"/>
      <c r="U458" s="26">
        <v>158.4941667</v>
      </c>
      <c r="V458" s="26"/>
      <c r="W458" s="26">
        <f t="shared" si="38"/>
        <v>355840.807094274</v>
      </c>
      <c r="X458" s="26">
        <f t="shared" si="39"/>
        <v>355760.607</v>
      </c>
      <c r="Y458" s="26"/>
    </row>
    <row r="459" ht="14.25" customHeight="1" spans="1:25">
      <c r="A459" s="10" t="s">
        <v>485</v>
      </c>
      <c r="B459">
        <v>1.292</v>
      </c>
      <c r="C459">
        <v>1.146</v>
      </c>
      <c r="D459">
        <v>1</v>
      </c>
      <c r="E459">
        <v>215</v>
      </c>
      <c r="F459">
        <v>48</v>
      </c>
      <c r="G459">
        <v>29</v>
      </c>
      <c r="H459" s="5">
        <f t="shared" si="0"/>
        <v>215.808055555556</v>
      </c>
      <c r="I459">
        <v>96</v>
      </c>
      <c r="J459">
        <v>56</v>
      </c>
      <c r="K459">
        <v>33</v>
      </c>
      <c r="L459" s="5">
        <f t="shared" si="1"/>
        <v>96.9425</v>
      </c>
      <c r="M459" s="5">
        <f t="shared" si="28"/>
        <v>28.7733783620435</v>
      </c>
      <c r="N459" s="5">
        <f t="shared" si="29"/>
        <v>-3.50361895849934</v>
      </c>
      <c r="O459">
        <v>1.52</v>
      </c>
      <c r="P459">
        <v>1505.676</v>
      </c>
      <c r="Q459" s="5">
        <f t="shared" si="17"/>
        <v>1502.5463810415</v>
      </c>
      <c r="T459" s="26"/>
      <c r="U459" s="26">
        <v>159.4941667</v>
      </c>
      <c r="V459" s="26"/>
      <c r="W459" s="26">
        <f t="shared" si="38"/>
        <v>355836.205153601</v>
      </c>
      <c r="X459" s="26">
        <f t="shared" si="39"/>
        <v>355760.607</v>
      </c>
      <c r="Y459" s="26"/>
    </row>
    <row r="460" ht="14.25" customHeight="1" spans="1:25">
      <c r="A460" s="10" t="s">
        <v>486</v>
      </c>
      <c r="B460">
        <v>1.282</v>
      </c>
      <c r="C460">
        <v>1.146</v>
      </c>
      <c r="D460">
        <v>1</v>
      </c>
      <c r="E460">
        <v>217</v>
      </c>
      <c r="F460">
        <v>49</v>
      </c>
      <c r="G460">
        <v>29</v>
      </c>
      <c r="H460" s="5">
        <f t="shared" si="0"/>
        <v>217.824722222222</v>
      </c>
      <c r="I460">
        <v>97</v>
      </c>
      <c r="J460">
        <v>12</v>
      </c>
      <c r="K460">
        <v>47</v>
      </c>
      <c r="L460" s="5">
        <f t="shared" si="1"/>
        <v>97.2130555555556</v>
      </c>
      <c r="M460" s="5">
        <f t="shared" si="28"/>
        <v>27.7554231420752</v>
      </c>
      <c r="N460" s="5">
        <f t="shared" si="29"/>
        <v>-3.51275088938511</v>
      </c>
      <c r="O460">
        <v>1.52</v>
      </c>
      <c r="P460">
        <v>1505.676</v>
      </c>
      <c r="Q460" s="5">
        <f t="shared" si="17"/>
        <v>1502.53724911061</v>
      </c>
      <c r="T460" s="26"/>
      <c r="U460" s="26">
        <v>160.4941667</v>
      </c>
      <c r="V460" s="26"/>
      <c r="W460" s="26">
        <f t="shared" si="38"/>
        <v>355833.339290707</v>
      </c>
      <c r="X460" s="26">
        <f t="shared" si="39"/>
        <v>355760.607</v>
      </c>
      <c r="Y460" s="26"/>
    </row>
    <row r="461" ht="14.25" customHeight="1" spans="1:25">
      <c r="A461" s="10" t="s">
        <v>487</v>
      </c>
      <c r="B461">
        <v>1.306</v>
      </c>
      <c r="C461">
        <v>1.153</v>
      </c>
      <c r="D461">
        <v>1</v>
      </c>
      <c r="E461">
        <v>221</v>
      </c>
      <c r="F461">
        <v>50</v>
      </c>
      <c r="G461">
        <v>33</v>
      </c>
      <c r="H461" s="5">
        <f t="shared" si="0"/>
        <v>221.8425</v>
      </c>
      <c r="I461">
        <v>96</v>
      </c>
      <c r="J461">
        <v>36</v>
      </c>
      <c r="K461">
        <v>1</v>
      </c>
      <c r="L461" s="5">
        <f t="shared" si="1"/>
        <v>96.6002777777778</v>
      </c>
      <c r="M461" s="5">
        <f t="shared" si="28"/>
        <v>30.1957233367256</v>
      </c>
      <c r="N461" s="5">
        <f t="shared" si="29"/>
        <v>-3.49391274586655</v>
      </c>
      <c r="O461">
        <v>1.52</v>
      </c>
      <c r="P461">
        <v>1505.676</v>
      </c>
      <c r="Q461" s="5">
        <f t="shared" si="17"/>
        <v>1502.54908725413</v>
      </c>
      <c r="T461" s="26"/>
      <c r="U461" s="26">
        <v>161.4941667</v>
      </c>
      <c r="V461" s="26"/>
      <c r="W461" s="26">
        <f t="shared" si="38"/>
        <v>355831.020076492</v>
      </c>
      <c r="X461" s="26">
        <f t="shared" si="39"/>
        <v>355760.607</v>
      </c>
      <c r="Y461" s="26"/>
    </row>
    <row r="462" ht="14.25" customHeight="1" spans="1:25">
      <c r="A462" s="10" t="s">
        <v>488</v>
      </c>
      <c r="B462">
        <v>1.67</v>
      </c>
      <c r="C462">
        <v>1.535</v>
      </c>
      <c r="D462">
        <v>1.4</v>
      </c>
      <c r="E462">
        <v>236</v>
      </c>
      <c r="F462">
        <v>15</v>
      </c>
      <c r="G462">
        <v>49</v>
      </c>
      <c r="H462" s="5">
        <f t="shared" si="0"/>
        <v>236.263611111111</v>
      </c>
      <c r="I462">
        <v>96</v>
      </c>
      <c r="J462">
        <v>40</v>
      </c>
      <c r="K462">
        <v>19</v>
      </c>
      <c r="L462" s="5">
        <f t="shared" si="1"/>
        <v>96.6719444444444</v>
      </c>
      <c r="M462" s="5">
        <f t="shared" si="28"/>
        <v>26.6355319665177</v>
      </c>
      <c r="N462" s="5">
        <f t="shared" si="29"/>
        <v>-3.11573425641417</v>
      </c>
      <c r="O462">
        <v>1.52</v>
      </c>
      <c r="P462">
        <v>1505.676</v>
      </c>
      <c r="Q462" s="5">
        <f t="shared" si="17"/>
        <v>1502.54526574359</v>
      </c>
      <c r="T462" s="26"/>
      <c r="U462" s="26">
        <v>162.4941667</v>
      </c>
      <c r="V462" s="26"/>
      <c r="W462" s="26">
        <f t="shared" si="38"/>
        <v>355831.675778393</v>
      </c>
      <c r="X462" s="26">
        <f t="shared" si="39"/>
        <v>355760.607</v>
      </c>
      <c r="Y462" s="26"/>
    </row>
    <row r="463" ht="14.25" customHeight="1" spans="1:25">
      <c r="A463" s="10" t="s">
        <v>489</v>
      </c>
      <c r="B463">
        <v>1.24</v>
      </c>
      <c r="C463">
        <v>1.12</v>
      </c>
      <c r="D463">
        <v>1</v>
      </c>
      <c r="E463">
        <v>233</v>
      </c>
      <c r="F463">
        <v>45</v>
      </c>
      <c r="G463">
        <v>16</v>
      </c>
      <c r="H463" s="5">
        <f t="shared" si="0"/>
        <v>233.754444444444</v>
      </c>
      <c r="I463">
        <v>98</v>
      </c>
      <c r="J463">
        <v>32</v>
      </c>
      <c r="K463">
        <v>3</v>
      </c>
      <c r="L463" s="5">
        <f t="shared" si="1"/>
        <v>98.5341666666667</v>
      </c>
      <c r="M463" s="5">
        <f t="shared" si="28"/>
        <v>23.4714645750084</v>
      </c>
      <c r="N463" s="5">
        <f t="shared" si="29"/>
        <v>-3.52214430486992</v>
      </c>
      <c r="O463">
        <v>1.52</v>
      </c>
      <c r="P463">
        <v>1505.676</v>
      </c>
      <c r="Q463" s="5">
        <f t="shared" si="17"/>
        <v>1502.55385569513</v>
      </c>
      <c r="T463" s="26"/>
      <c r="U463" s="26">
        <v>163.4941667</v>
      </c>
      <c r="V463" s="26"/>
      <c r="W463" s="26">
        <f t="shared" si="38"/>
        <v>355827.019667262</v>
      </c>
      <c r="X463" s="26">
        <f t="shared" si="39"/>
        <v>355760.607</v>
      </c>
      <c r="Y463" s="26"/>
    </row>
    <row r="464" ht="14.25" customHeight="1" spans="1:25">
      <c r="A464" s="10" t="s">
        <v>490</v>
      </c>
      <c r="B464">
        <v>1.232</v>
      </c>
      <c r="C464">
        <v>1.116</v>
      </c>
      <c r="D464">
        <v>1</v>
      </c>
      <c r="E464">
        <v>223</v>
      </c>
      <c r="F464">
        <v>42</v>
      </c>
      <c r="G464">
        <v>42</v>
      </c>
      <c r="H464" s="5">
        <f t="shared" si="0"/>
        <v>223.711666666667</v>
      </c>
      <c r="I464">
        <v>98</v>
      </c>
      <c r="J464">
        <v>49</v>
      </c>
      <c r="K464">
        <v>30</v>
      </c>
      <c r="L464" s="5">
        <f t="shared" si="1"/>
        <v>98.825</v>
      </c>
      <c r="M464" s="5">
        <f t="shared" si="28"/>
        <v>22.6539466735005</v>
      </c>
      <c r="N464" s="5">
        <f t="shared" si="29"/>
        <v>-3.51713845894739</v>
      </c>
      <c r="O464">
        <v>1.52</v>
      </c>
      <c r="P464">
        <v>1505.676</v>
      </c>
      <c r="Q464" s="5">
        <f t="shared" si="17"/>
        <v>1502.56286154105</v>
      </c>
      <c r="T464" s="26"/>
      <c r="U464" s="26">
        <v>164.4941667</v>
      </c>
      <c r="V464" s="26"/>
      <c r="W464" s="26">
        <f t="shared" si="38"/>
        <v>355820.413289911</v>
      </c>
      <c r="X464" s="26">
        <f t="shared" si="39"/>
        <v>355760.607</v>
      </c>
      <c r="Y464" s="26"/>
    </row>
    <row r="465" ht="14.25" customHeight="1" spans="1:25">
      <c r="A465" s="10" t="s">
        <v>491</v>
      </c>
      <c r="B465">
        <v>1.312</v>
      </c>
      <c r="C465">
        <v>1.156</v>
      </c>
      <c r="D465">
        <v>1</v>
      </c>
      <c r="E465">
        <v>230</v>
      </c>
      <c r="F465">
        <v>42</v>
      </c>
      <c r="G465">
        <v>31</v>
      </c>
      <c r="H465" s="5">
        <f t="shared" si="0"/>
        <v>230.708611111111</v>
      </c>
      <c r="I465">
        <v>96</v>
      </c>
      <c r="J465">
        <v>28</v>
      </c>
      <c r="K465">
        <v>6</v>
      </c>
      <c r="L465" s="5">
        <f t="shared" si="1"/>
        <v>96.4683333333333</v>
      </c>
      <c r="M465" s="5">
        <f t="shared" si="28"/>
        <v>30.8040427465777</v>
      </c>
      <c r="N465" s="5">
        <f t="shared" si="29"/>
        <v>-3.49243241312402</v>
      </c>
      <c r="O465">
        <v>1.52</v>
      </c>
      <c r="P465">
        <v>1505.676</v>
      </c>
      <c r="Q465" s="5">
        <f t="shared" si="17"/>
        <v>1502.54756758688</v>
      </c>
      <c r="T465" s="26"/>
      <c r="U465" s="26">
        <v>165.4941667</v>
      </c>
      <c r="V465" s="26"/>
      <c r="W465" s="26">
        <f t="shared" si="38"/>
        <v>355818.394562948</v>
      </c>
      <c r="X465" s="26">
        <f t="shared" si="39"/>
        <v>355760.607</v>
      </c>
      <c r="Y465" s="26"/>
    </row>
    <row r="466" ht="14.25" customHeight="1" spans="1:25">
      <c r="A466" s="10" t="s">
        <v>492</v>
      </c>
      <c r="B466">
        <v>1.665</v>
      </c>
      <c r="C466">
        <v>1.532</v>
      </c>
      <c r="D466">
        <v>1.4</v>
      </c>
      <c r="E466">
        <v>239</v>
      </c>
      <c r="F466">
        <v>52</v>
      </c>
      <c r="G466">
        <v>23</v>
      </c>
      <c r="H466" s="5">
        <f t="shared" si="0"/>
        <v>239.873055555556</v>
      </c>
      <c r="I466">
        <v>96</v>
      </c>
      <c r="J466">
        <v>54</v>
      </c>
      <c r="K466">
        <v>58</v>
      </c>
      <c r="L466" s="5">
        <f t="shared" si="1"/>
        <v>96.9161111111111</v>
      </c>
      <c r="M466" s="5">
        <f t="shared" si="28"/>
        <v>26.1157497214141</v>
      </c>
      <c r="N466" s="5">
        <f t="shared" si="29"/>
        <v>-3.16780430360432</v>
      </c>
      <c r="O466">
        <v>1.52</v>
      </c>
      <c r="P466">
        <v>1505.676</v>
      </c>
      <c r="Q466" s="5">
        <f t="shared" si="17"/>
        <v>1502.4961956964</v>
      </c>
      <c r="T466" s="26"/>
      <c r="U466" s="26">
        <v>166.4941667</v>
      </c>
      <c r="V466" s="26"/>
      <c r="W466" s="26">
        <f t="shared" si="38"/>
        <v>355816.627999131</v>
      </c>
      <c r="X466" s="26">
        <f t="shared" si="39"/>
        <v>355760.607</v>
      </c>
      <c r="Y466" s="26"/>
    </row>
    <row r="467" ht="14.25" customHeight="1" spans="1:25">
      <c r="A467" s="10" t="s">
        <v>493</v>
      </c>
      <c r="B467">
        <v>1.636</v>
      </c>
      <c r="C467">
        <v>1.518</v>
      </c>
      <c r="D467">
        <v>1.4</v>
      </c>
      <c r="E467">
        <v>238</v>
      </c>
      <c r="F467">
        <v>57</v>
      </c>
      <c r="G467">
        <v>20</v>
      </c>
      <c r="H467" s="5">
        <f t="shared" si="0"/>
        <v>238.955555555556</v>
      </c>
      <c r="I467">
        <v>97</v>
      </c>
      <c r="J467">
        <v>41</v>
      </c>
      <c r="K467">
        <v>54</v>
      </c>
      <c r="L467" s="5">
        <f t="shared" si="1"/>
        <v>97.6983333333333</v>
      </c>
      <c r="M467" s="5">
        <f t="shared" si="28"/>
        <v>23.1765080539682</v>
      </c>
      <c r="N467" s="5">
        <f t="shared" si="29"/>
        <v>-3.13290033323685</v>
      </c>
      <c r="O467">
        <v>1.52</v>
      </c>
      <c r="P467">
        <v>1505.676</v>
      </c>
      <c r="Q467" s="5">
        <f t="shared" si="17"/>
        <v>1502.54509966676</v>
      </c>
      <c r="T467" s="26"/>
      <c r="U467" s="26">
        <v>167.4941667</v>
      </c>
      <c r="V467" s="26"/>
      <c r="W467" s="26">
        <f t="shared" si="38"/>
        <v>355812.350199296</v>
      </c>
      <c r="X467" s="26">
        <f t="shared" si="39"/>
        <v>355760.607</v>
      </c>
      <c r="Y467" s="26"/>
    </row>
    <row r="468" ht="14.25" customHeight="1" spans="1:25">
      <c r="A468" s="10" t="s">
        <v>494</v>
      </c>
      <c r="B468">
        <v>2.226</v>
      </c>
      <c r="C468">
        <v>2.113</v>
      </c>
      <c r="D468">
        <v>2</v>
      </c>
      <c r="E468">
        <v>243</v>
      </c>
      <c r="F468">
        <v>35</v>
      </c>
      <c r="G468">
        <v>56</v>
      </c>
      <c r="H468" s="5">
        <f t="shared" si="0"/>
        <v>243.598888888889</v>
      </c>
      <c r="I468">
        <v>93</v>
      </c>
      <c r="J468">
        <v>20</v>
      </c>
      <c r="K468">
        <v>37</v>
      </c>
      <c r="L468" s="5">
        <f t="shared" si="1"/>
        <v>93.3436111111111</v>
      </c>
      <c r="M468" s="5">
        <f t="shared" si="28"/>
        <v>22.5231220781311</v>
      </c>
      <c r="N468" s="5">
        <f t="shared" si="29"/>
        <v>-1.31587644532702</v>
      </c>
      <c r="O468">
        <v>1.52</v>
      </c>
      <c r="P468">
        <v>1505.676</v>
      </c>
      <c r="Q468" s="5">
        <f t="shared" si="17"/>
        <v>1503.76712355467</v>
      </c>
      <c r="T468" s="26"/>
      <c r="U468" s="26">
        <v>168.4941667</v>
      </c>
      <c r="V468" s="26"/>
      <c r="W468" s="26">
        <f t="shared" si="38"/>
        <v>355809.19710995</v>
      </c>
      <c r="X468" s="26">
        <f t="shared" si="39"/>
        <v>355760.607</v>
      </c>
      <c r="Y468" s="26"/>
    </row>
    <row r="469" ht="14.25" customHeight="1" spans="1:25">
      <c r="A469" s="10" t="s">
        <v>495</v>
      </c>
      <c r="B469">
        <v>1.762</v>
      </c>
      <c r="C469">
        <v>1.628</v>
      </c>
      <c r="D469">
        <v>1.5</v>
      </c>
      <c r="E469">
        <v>244</v>
      </c>
      <c r="F469">
        <v>28</v>
      </c>
      <c r="G469">
        <v>23</v>
      </c>
      <c r="H469" s="5">
        <f t="shared" si="0"/>
        <v>244.473055555556</v>
      </c>
      <c r="I469">
        <v>94</v>
      </c>
      <c r="J469">
        <v>0</v>
      </c>
      <c r="K469">
        <v>19</v>
      </c>
      <c r="L469" s="5">
        <f t="shared" si="1"/>
        <v>94.0052777777778</v>
      </c>
      <c r="M469" s="5">
        <f t="shared" si="28"/>
        <v>26.0721755996599</v>
      </c>
      <c r="N469" s="5">
        <f t="shared" si="29"/>
        <v>-1.82555750706111</v>
      </c>
      <c r="O469">
        <v>1.52</v>
      </c>
      <c r="P469">
        <v>1505.676</v>
      </c>
      <c r="Q469" s="5">
        <f t="shared" si="17"/>
        <v>1503.74244249294</v>
      </c>
      <c r="T469" s="26"/>
      <c r="U469" s="26">
        <v>169.4941667</v>
      </c>
      <c r="V469" s="26"/>
      <c r="W469" s="26">
        <f t="shared" si="38"/>
        <v>355805.183148514</v>
      </c>
      <c r="X469" s="26">
        <f t="shared" si="39"/>
        <v>355760.607</v>
      </c>
      <c r="Y469" s="26"/>
    </row>
    <row r="470" ht="14.25" customHeight="1" spans="1:25">
      <c r="A470" s="10" t="s">
        <v>496</v>
      </c>
      <c r="B470">
        <v>2.056</v>
      </c>
      <c r="C470">
        <v>1.928</v>
      </c>
      <c r="D470">
        <v>1.8</v>
      </c>
      <c r="E470">
        <v>247</v>
      </c>
      <c r="F470">
        <v>45</v>
      </c>
      <c r="G470">
        <v>2</v>
      </c>
      <c r="H470" s="5">
        <f t="shared" si="0"/>
        <v>247.750555555556</v>
      </c>
      <c r="I470">
        <v>93</v>
      </c>
      <c r="J470">
        <v>22</v>
      </c>
      <c r="K470">
        <v>13</v>
      </c>
      <c r="L470" s="5">
        <f t="shared" si="1"/>
        <v>93.3702777777778</v>
      </c>
      <c r="M470" s="5">
        <f t="shared" si="28"/>
        <v>25.5115240695613</v>
      </c>
      <c r="N470" s="5">
        <f t="shared" si="29"/>
        <v>-1.50238338281646</v>
      </c>
      <c r="O470">
        <v>1.52</v>
      </c>
      <c r="P470">
        <v>1505.676</v>
      </c>
      <c r="Q470" s="5">
        <f t="shared" si="17"/>
        <v>1503.76561661718</v>
      </c>
      <c r="T470" s="26"/>
      <c r="U470" s="26">
        <v>170.4941667</v>
      </c>
      <c r="V470" s="26"/>
      <c r="W470" s="26">
        <f t="shared" si="38"/>
        <v>355801.522513369</v>
      </c>
      <c r="X470" s="26">
        <f t="shared" si="39"/>
        <v>355760.607</v>
      </c>
      <c r="Y470" s="26"/>
    </row>
    <row r="471" ht="14.25" customHeight="1" spans="1:25">
      <c r="A471" s="10" t="s">
        <v>497</v>
      </c>
      <c r="B471">
        <v>2.225</v>
      </c>
      <c r="C471">
        <v>2.113</v>
      </c>
      <c r="D471">
        <v>2</v>
      </c>
      <c r="E471">
        <v>247</v>
      </c>
      <c r="F471">
        <v>27</v>
      </c>
      <c r="G471">
        <v>55</v>
      </c>
      <c r="H471" s="5">
        <f t="shared" si="0"/>
        <v>247.465277777778</v>
      </c>
      <c r="I471">
        <v>93</v>
      </c>
      <c r="J471">
        <v>20</v>
      </c>
      <c r="K471">
        <v>31</v>
      </c>
      <c r="L471" s="5">
        <f t="shared" si="1"/>
        <v>93.3419444444444</v>
      </c>
      <c r="M471" s="5">
        <f t="shared" si="28"/>
        <v>22.4235384428692</v>
      </c>
      <c r="N471" s="5">
        <f t="shared" si="29"/>
        <v>-1.30940393527943</v>
      </c>
      <c r="O471">
        <v>1.52</v>
      </c>
      <c r="P471">
        <v>1505.676</v>
      </c>
      <c r="Q471" s="5">
        <f t="shared" si="17"/>
        <v>1503.77359606472</v>
      </c>
      <c r="T471" s="26"/>
      <c r="U471" s="26">
        <v>171.4941667</v>
      </c>
      <c r="V471" s="26"/>
      <c r="W471" s="26">
        <f t="shared" si="38"/>
        <v>355797.20961447</v>
      </c>
      <c r="X471" s="26">
        <f t="shared" si="39"/>
        <v>355760.607</v>
      </c>
      <c r="Y471" s="26"/>
    </row>
    <row r="472" ht="14.25" customHeight="1" spans="1:25">
      <c r="A472" s="10" t="s">
        <v>498</v>
      </c>
      <c r="B472">
        <v>2.228</v>
      </c>
      <c r="C472">
        <v>2.114</v>
      </c>
      <c r="D472">
        <v>2</v>
      </c>
      <c r="E472">
        <v>245</v>
      </c>
      <c r="F472">
        <v>53</v>
      </c>
      <c r="G472">
        <v>53</v>
      </c>
      <c r="H472" s="5">
        <f t="shared" si="0"/>
        <v>245.898055555556</v>
      </c>
      <c r="I472">
        <v>93</v>
      </c>
      <c r="J472">
        <v>20</v>
      </c>
      <c r="K472">
        <v>15</v>
      </c>
      <c r="L472" s="5">
        <f t="shared" si="1"/>
        <v>93.3375</v>
      </c>
      <c r="M472" s="5">
        <f t="shared" si="28"/>
        <v>22.7227246691554</v>
      </c>
      <c r="N472" s="5">
        <f t="shared" si="29"/>
        <v>-1.32510605858557</v>
      </c>
      <c r="O472">
        <v>1.52</v>
      </c>
      <c r="P472">
        <v>1505.676</v>
      </c>
      <c r="Q472" s="5">
        <f t="shared" si="17"/>
        <v>1503.75689394141</v>
      </c>
      <c r="T472" s="26"/>
      <c r="U472" s="26">
        <v>172.4941667</v>
      </c>
      <c r="V472" s="26"/>
      <c r="W472" s="26">
        <f t="shared" si="38"/>
        <v>355792.727957379</v>
      </c>
      <c r="X472" s="26">
        <f t="shared" si="39"/>
        <v>355760.607</v>
      </c>
      <c r="Y472" s="26"/>
    </row>
    <row r="473" ht="14.25" customHeight="1" spans="1:25">
      <c r="A473" s="10" t="s">
        <v>499</v>
      </c>
      <c r="B473">
        <v>2.06</v>
      </c>
      <c r="C473">
        <v>1.93</v>
      </c>
      <c r="D473">
        <v>1.8</v>
      </c>
      <c r="E473">
        <v>245</v>
      </c>
      <c r="F473">
        <v>50</v>
      </c>
      <c r="G473">
        <v>6</v>
      </c>
      <c r="H473" s="5">
        <f t="shared" si="0"/>
        <v>245.835</v>
      </c>
      <c r="I473">
        <v>93</v>
      </c>
      <c r="J473">
        <v>20</v>
      </c>
      <c r="K473">
        <v>1</v>
      </c>
      <c r="L473" s="5">
        <f t="shared" si="1"/>
        <v>93.3336111111111</v>
      </c>
      <c r="M473" s="5">
        <f t="shared" si="28"/>
        <v>25.9120840163457</v>
      </c>
      <c r="N473" s="5">
        <f t="shared" si="29"/>
        <v>-1.5093330827986</v>
      </c>
      <c r="O473">
        <v>1.52</v>
      </c>
      <c r="P473">
        <v>1505.676</v>
      </c>
      <c r="Q473" s="5">
        <f t="shared" si="17"/>
        <v>1503.7566669172</v>
      </c>
      <c r="T473" s="26"/>
      <c r="U473" s="26">
        <v>173.4941667</v>
      </c>
      <c r="V473" s="26"/>
      <c r="W473" s="26">
        <f t="shared" si="38"/>
        <v>355788.461179462</v>
      </c>
      <c r="X473" s="26">
        <f t="shared" si="39"/>
        <v>355760.607</v>
      </c>
      <c r="Y473" s="26"/>
    </row>
    <row r="474" ht="14.25" customHeight="1" spans="1:25">
      <c r="A474" s="10" t="s">
        <v>500</v>
      </c>
      <c r="B474">
        <v>1.255</v>
      </c>
      <c r="C474">
        <v>1.128</v>
      </c>
      <c r="D474">
        <v>1</v>
      </c>
      <c r="E474">
        <v>254</v>
      </c>
      <c r="F474">
        <v>41</v>
      </c>
      <c r="G474">
        <v>27</v>
      </c>
      <c r="H474" s="5">
        <f t="shared" si="0"/>
        <v>254.690833333333</v>
      </c>
      <c r="I474">
        <v>92</v>
      </c>
      <c r="J474">
        <v>45</v>
      </c>
      <c r="K474">
        <v>3</v>
      </c>
      <c r="L474" s="5">
        <f t="shared" si="1"/>
        <v>92.7508333333333</v>
      </c>
      <c r="M474" s="5">
        <f t="shared" si="28"/>
        <v>25.441265976303</v>
      </c>
      <c r="N474" s="5">
        <f t="shared" si="29"/>
        <v>-1.22240251911253</v>
      </c>
      <c r="O474">
        <v>1.52</v>
      </c>
      <c r="P474">
        <v>1505.676</v>
      </c>
      <c r="Q474" s="5">
        <f t="shared" si="17"/>
        <v>1504.84559748089</v>
      </c>
      <c r="T474" s="26"/>
      <c r="U474" s="26">
        <v>174.4941667</v>
      </c>
      <c r="V474" s="26"/>
      <c r="W474" s="26">
        <f t="shared" si="38"/>
        <v>355785.043845124</v>
      </c>
      <c r="X474" s="26">
        <f t="shared" si="39"/>
        <v>355760.607</v>
      </c>
      <c r="Y474" s="26"/>
    </row>
    <row r="475" ht="14.25" customHeight="1" spans="1:25">
      <c r="A475" s="10" t="s">
        <v>501</v>
      </c>
      <c r="B475">
        <v>1.524</v>
      </c>
      <c r="C475">
        <v>1.412</v>
      </c>
      <c r="D475">
        <v>1.3</v>
      </c>
      <c r="E475">
        <v>255</v>
      </c>
      <c r="F475">
        <v>8</v>
      </c>
      <c r="G475">
        <v>24</v>
      </c>
      <c r="H475" s="5">
        <f t="shared" si="0"/>
        <v>255.14</v>
      </c>
      <c r="I475">
        <v>92</v>
      </c>
      <c r="J475">
        <v>22</v>
      </c>
      <c r="K475">
        <v>4</v>
      </c>
      <c r="L475" s="5">
        <f t="shared" si="1"/>
        <v>92.3677777777778</v>
      </c>
      <c r="M475" s="5">
        <f t="shared" si="28"/>
        <v>22.3617670867997</v>
      </c>
      <c r="N475" s="5">
        <f t="shared" si="29"/>
        <v>-0.92463803730733</v>
      </c>
      <c r="O475">
        <v>1.52</v>
      </c>
      <c r="P475">
        <v>1505.676</v>
      </c>
      <c r="Q475" s="5">
        <f t="shared" si="17"/>
        <v>1504.85936196269</v>
      </c>
      <c r="T475" s="26"/>
      <c r="U475" s="26">
        <v>175.4941667</v>
      </c>
      <c r="V475" s="26"/>
      <c r="W475" s="26">
        <f t="shared" si="38"/>
        <v>355780.650949281</v>
      </c>
      <c r="X475" s="26">
        <f t="shared" si="39"/>
        <v>355760.607</v>
      </c>
      <c r="Y475" s="26"/>
    </row>
    <row r="476" ht="14.25" customHeight="1" spans="1:25">
      <c r="A476" s="10" t="s">
        <v>502</v>
      </c>
      <c r="B476">
        <v>1.226</v>
      </c>
      <c r="C476">
        <v>1.113</v>
      </c>
      <c r="D476">
        <v>1</v>
      </c>
      <c r="E476">
        <v>260</v>
      </c>
      <c r="F476">
        <v>24</v>
      </c>
      <c r="G476">
        <v>44</v>
      </c>
      <c r="H476" s="5">
        <f t="shared" si="0"/>
        <v>260.412222222222</v>
      </c>
      <c r="I476">
        <v>89</v>
      </c>
      <c r="J476">
        <v>51</v>
      </c>
      <c r="K476">
        <v>59</v>
      </c>
      <c r="L476" s="5">
        <f t="shared" si="1"/>
        <v>89.8663888888889</v>
      </c>
      <c r="M476" s="5">
        <f t="shared" si="28"/>
        <v>22.5998771012295</v>
      </c>
      <c r="N476" s="5">
        <f t="shared" si="29"/>
        <v>0.0527019649557229</v>
      </c>
      <c r="O476">
        <v>1.52</v>
      </c>
      <c r="P476">
        <v>1505.676</v>
      </c>
      <c r="Q476" s="5">
        <f t="shared" si="17"/>
        <v>1506.13570196496</v>
      </c>
      <c r="T476" s="26"/>
      <c r="U476" s="26">
        <v>176.4941667</v>
      </c>
      <c r="V476" s="26"/>
      <c r="W476" s="26">
        <f t="shared" si="38"/>
        <v>355776.531248849</v>
      </c>
      <c r="X476" s="26">
        <f t="shared" si="39"/>
        <v>355760.607</v>
      </c>
      <c r="Y476" s="26"/>
    </row>
    <row r="477" ht="14.25" customHeight="1" spans="1:25">
      <c r="A477" s="10" t="s">
        <v>503</v>
      </c>
      <c r="B477">
        <v>1.258</v>
      </c>
      <c r="C477">
        <v>1.128</v>
      </c>
      <c r="D477">
        <v>1</v>
      </c>
      <c r="E477">
        <v>259</v>
      </c>
      <c r="F477">
        <v>20</v>
      </c>
      <c r="G477">
        <v>18</v>
      </c>
      <c r="H477" s="5">
        <f t="shared" si="0"/>
        <v>259.338333333333</v>
      </c>
      <c r="I477">
        <v>89</v>
      </c>
      <c r="J477">
        <v>50</v>
      </c>
      <c r="K477">
        <v>22</v>
      </c>
      <c r="L477" s="5">
        <f t="shared" si="1"/>
        <v>89.8394444444444</v>
      </c>
      <c r="M477" s="5">
        <f t="shared" si="28"/>
        <v>25.7997974072126</v>
      </c>
      <c r="N477" s="5">
        <f t="shared" si="29"/>
        <v>0.0722969769079303</v>
      </c>
      <c r="O477">
        <v>1.52</v>
      </c>
      <c r="P477">
        <v>1505.676</v>
      </c>
      <c r="Q477" s="5">
        <f t="shared" si="17"/>
        <v>1506.14029697691</v>
      </c>
      <c r="T477" s="26"/>
      <c r="U477" s="26">
        <v>177.4941667</v>
      </c>
      <c r="V477" s="26"/>
      <c r="W477" s="26">
        <f t="shared" ref="W477:W508" si="40">$S$444+(H477*SIN(U477*3.141592654/180))</f>
        <v>355771.945557238</v>
      </c>
      <c r="X477" s="26">
        <f t="shared" ref="X477:X508" si="41">$S$444+(I477*SIN(V477*3.141592654/180))</f>
        <v>355760.607</v>
      </c>
      <c r="Y477" s="26"/>
    </row>
    <row r="478" ht="14.25" customHeight="1" spans="1:25">
      <c r="A478" s="10" t="s">
        <v>504</v>
      </c>
      <c r="B478">
        <v>1.26</v>
      </c>
      <c r="C478">
        <v>1.13</v>
      </c>
      <c r="D478">
        <v>1</v>
      </c>
      <c r="E478">
        <v>263</v>
      </c>
      <c r="F478">
        <v>54</v>
      </c>
      <c r="G478">
        <v>46</v>
      </c>
      <c r="H478" s="5">
        <f t="shared" si="0"/>
        <v>263.912777777778</v>
      </c>
      <c r="I478">
        <v>89</v>
      </c>
      <c r="J478">
        <v>47</v>
      </c>
      <c r="K478">
        <v>56</v>
      </c>
      <c r="L478" s="5">
        <f t="shared" si="1"/>
        <v>89.7988888888889</v>
      </c>
      <c r="M478" s="5">
        <f t="shared" si="28"/>
        <v>25.9996796693976</v>
      </c>
      <c r="N478" s="5">
        <f t="shared" si="29"/>
        <v>0.0912605777463202</v>
      </c>
      <c r="O478">
        <v>1.52</v>
      </c>
      <c r="P478">
        <v>1505.676</v>
      </c>
      <c r="Q478" s="5">
        <f t="shared" si="17"/>
        <v>1506.15726057775</v>
      </c>
      <c r="T478" s="26"/>
      <c r="U478" s="26">
        <v>178.4941667</v>
      </c>
      <c r="V478" s="26"/>
      <c r="W478" s="26">
        <f t="shared" si="40"/>
        <v>355767.542290828</v>
      </c>
      <c r="X478" s="26">
        <f t="shared" si="41"/>
        <v>355760.607</v>
      </c>
      <c r="Y478" s="26"/>
    </row>
    <row r="479" ht="14.25" customHeight="1" spans="1:25">
      <c r="A479" s="10" t="s">
        <v>505</v>
      </c>
      <c r="B479">
        <v>1.288</v>
      </c>
      <c r="C479">
        <v>1.144</v>
      </c>
      <c r="D479">
        <v>1</v>
      </c>
      <c r="E479">
        <v>280</v>
      </c>
      <c r="F479">
        <v>30</v>
      </c>
      <c r="G479">
        <v>48</v>
      </c>
      <c r="H479" s="5">
        <f t="shared" si="0"/>
        <v>280.513333333333</v>
      </c>
      <c r="I479">
        <v>89</v>
      </c>
      <c r="J479">
        <v>45</v>
      </c>
      <c r="K479">
        <v>1</v>
      </c>
      <c r="L479" s="5">
        <f t="shared" si="1"/>
        <v>89.7502777777778</v>
      </c>
      <c r="M479" s="5">
        <f t="shared" si="28"/>
        <v>28.7994529099014</v>
      </c>
      <c r="N479" s="5">
        <f t="shared" si="29"/>
        <v>0.125522490147063</v>
      </c>
      <c r="O479">
        <v>1.52</v>
      </c>
      <c r="P479">
        <v>1505.676</v>
      </c>
      <c r="Q479" s="5">
        <f t="shared" si="17"/>
        <v>1506.17752249015</v>
      </c>
      <c r="T479" s="26"/>
      <c r="U479" s="26">
        <v>179.4941667</v>
      </c>
      <c r="V479" s="26"/>
      <c r="W479" s="26">
        <f t="shared" si="40"/>
        <v>355763.08346749</v>
      </c>
      <c r="X479" s="26">
        <f t="shared" si="41"/>
        <v>355760.607</v>
      </c>
      <c r="Y479" s="26"/>
    </row>
    <row r="480" ht="14.25" customHeight="1" spans="1:25">
      <c r="A480" s="10" t="s">
        <v>506</v>
      </c>
      <c r="B480">
        <v>1.296</v>
      </c>
      <c r="C480">
        <v>1.148</v>
      </c>
      <c r="D480">
        <v>1</v>
      </c>
      <c r="E480">
        <v>271</v>
      </c>
      <c r="F480">
        <v>4</v>
      </c>
      <c r="G480">
        <v>38</v>
      </c>
      <c r="H480" s="5">
        <f t="shared" si="0"/>
        <v>271.077222222222</v>
      </c>
      <c r="I480">
        <v>89</v>
      </c>
      <c r="J480">
        <v>41</v>
      </c>
      <c r="K480">
        <v>40</v>
      </c>
      <c r="L480" s="5">
        <f t="shared" si="1"/>
        <v>89.6944444444444</v>
      </c>
      <c r="M480" s="5">
        <f t="shared" si="28"/>
        <v>29.5991581732965</v>
      </c>
      <c r="N480" s="5">
        <f t="shared" si="29"/>
        <v>0.15785234161116</v>
      </c>
      <c r="O480">
        <v>1.52</v>
      </c>
      <c r="P480">
        <v>1505.676</v>
      </c>
      <c r="Q480" s="5">
        <f t="shared" si="17"/>
        <v>1506.20585234161</v>
      </c>
      <c r="T480" s="26"/>
      <c r="U480" s="26">
        <v>180.4941667</v>
      </c>
      <c r="V480" s="26"/>
      <c r="W480" s="26">
        <f t="shared" si="40"/>
        <v>355758.269032298</v>
      </c>
      <c r="X480" s="26">
        <f t="shared" si="41"/>
        <v>355760.607</v>
      </c>
      <c r="Y480" s="26"/>
    </row>
    <row r="481" ht="14.25" customHeight="1" spans="1:25">
      <c r="A481" s="10" t="s">
        <v>507</v>
      </c>
      <c r="B481">
        <v>1.23</v>
      </c>
      <c r="C481">
        <v>1.115</v>
      </c>
      <c r="D481">
        <v>1</v>
      </c>
      <c r="E481">
        <v>265</v>
      </c>
      <c r="F481">
        <v>17</v>
      </c>
      <c r="G481">
        <v>59</v>
      </c>
      <c r="H481" s="5">
        <f t="shared" si="0"/>
        <v>265.299722222222</v>
      </c>
      <c r="I481">
        <v>89</v>
      </c>
      <c r="J481">
        <v>49</v>
      </c>
      <c r="K481">
        <v>35</v>
      </c>
      <c r="L481" s="5">
        <f t="shared" si="1"/>
        <v>89.8263888888889</v>
      </c>
      <c r="M481" s="5">
        <f t="shared" si="28"/>
        <v>22.9997888280282</v>
      </c>
      <c r="N481" s="5">
        <f t="shared" si="29"/>
        <v>0.069691540079552</v>
      </c>
      <c r="O481">
        <v>1.52</v>
      </c>
      <c r="P481">
        <v>1505.676</v>
      </c>
      <c r="Q481" s="5">
        <f t="shared" si="17"/>
        <v>1506.15069154008</v>
      </c>
      <c r="T481" s="26"/>
      <c r="U481" s="26">
        <v>181.4941667</v>
      </c>
      <c r="V481" s="26"/>
      <c r="W481" s="26">
        <f t="shared" si="40"/>
        <v>355753.689263798</v>
      </c>
      <c r="X481" s="26">
        <f t="shared" si="41"/>
        <v>355760.607</v>
      </c>
      <c r="Y481" s="26"/>
    </row>
    <row r="482" ht="14.25" customHeight="1" spans="1:25">
      <c r="A482" s="10" t="s">
        <v>508</v>
      </c>
      <c r="B482">
        <v>1.216</v>
      </c>
      <c r="C482">
        <v>1.108</v>
      </c>
      <c r="D482">
        <v>1</v>
      </c>
      <c r="E482">
        <v>274</v>
      </c>
      <c r="F482">
        <v>5</v>
      </c>
      <c r="G482">
        <v>5</v>
      </c>
      <c r="H482" s="5">
        <f t="shared" si="0"/>
        <v>274.084722222222</v>
      </c>
      <c r="I482">
        <v>89</v>
      </c>
      <c r="J482">
        <v>47</v>
      </c>
      <c r="K482">
        <v>24</v>
      </c>
      <c r="L482" s="5">
        <f t="shared" si="1"/>
        <v>89.79</v>
      </c>
      <c r="M482" s="5">
        <f t="shared" si="28"/>
        <v>21.5997098349299</v>
      </c>
      <c r="N482" s="5">
        <f t="shared" si="29"/>
        <v>0.0791674258621755</v>
      </c>
      <c r="O482">
        <v>1.52</v>
      </c>
      <c r="P482">
        <v>1505.676</v>
      </c>
      <c r="Q482" s="5">
        <f t="shared" si="17"/>
        <v>1506.16716742586</v>
      </c>
      <c r="T482" s="26"/>
      <c r="U482" s="26">
        <v>182.4941667</v>
      </c>
      <c r="V482" s="26"/>
      <c r="W482" s="26">
        <f t="shared" si="40"/>
        <v>355748.679470365</v>
      </c>
      <c r="X482" s="26">
        <f t="shared" si="41"/>
        <v>355760.607</v>
      </c>
      <c r="Y482" s="26"/>
    </row>
    <row r="483" ht="14.25" customHeight="1" spans="1:25">
      <c r="A483" s="10" t="s">
        <v>509</v>
      </c>
      <c r="B483">
        <v>1.264</v>
      </c>
      <c r="C483">
        <v>1.132</v>
      </c>
      <c r="D483">
        <v>1</v>
      </c>
      <c r="E483">
        <v>283</v>
      </c>
      <c r="F483">
        <v>36</v>
      </c>
      <c r="G483">
        <v>5</v>
      </c>
      <c r="H483" s="5">
        <f t="shared" si="0"/>
        <v>283.601388888889</v>
      </c>
      <c r="I483">
        <v>89</v>
      </c>
      <c r="J483">
        <v>47</v>
      </c>
      <c r="K483">
        <v>1</v>
      </c>
      <c r="L483" s="5">
        <f t="shared" si="1"/>
        <v>89.7836111111111</v>
      </c>
      <c r="M483" s="5">
        <f t="shared" si="28"/>
        <v>26.399623446654</v>
      </c>
      <c r="N483" s="5">
        <f t="shared" si="29"/>
        <v>0.0997038943148013</v>
      </c>
      <c r="O483">
        <v>1.52</v>
      </c>
      <c r="P483">
        <v>1505.676</v>
      </c>
      <c r="Q483" s="5">
        <f t="shared" si="17"/>
        <v>1506.16370389431</v>
      </c>
      <c r="T483" s="26"/>
      <c r="U483" s="26">
        <v>183.4941667</v>
      </c>
      <c r="V483" s="26"/>
      <c r="W483" s="26">
        <f t="shared" si="40"/>
        <v>355743.322369055</v>
      </c>
      <c r="X483" s="26">
        <f t="shared" si="41"/>
        <v>355760.607</v>
      </c>
      <c r="Y483" s="26"/>
    </row>
    <row r="484" ht="14.25" customHeight="1" spans="1:25">
      <c r="A484" s="10" t="s">
        <v>510</v>
      </c>
      <c r="B484">
        <v>1.284</v>
      </c>
      <c r="C484">
        <v>1.142</v>
      </c>
      <c r="D484">
        <v>1</v>
      </c>
      <c r="E484">
        <v>289</v>
      </c>
      <c r="F484">
        <v>28</v>
      </c>
      <c r="G484">
        <v>25</v>
      </c>
      <c r="H484" s="5">
        <f t="shared" si="0"/>
        <v>289.473611111111</v>
      </c>
      <c r="I484">
        <v>86</v>
      </c>
      <c r="J484">
        <v>12</v>
      </c>
      <c r="K484">
        <v>25</v>
      </c>
      <c r="L484" s="5">
        <f t="shared" si="1"/>
        <v>86.2069444444444</v>
      </c>
      <c r="M484" s="5">
        <f t="shared" si="28"/>
        <v>28.2757155079513</v>
      </c>
      <c r="N484" s="5">
        <f t="shared" si="29"/>
        <v>1.87462874703733</v>
      </c>
      <c r="O484">
        <v>1.52</v>
      </c>
      <c r="P484">
        <v>1505.676</v>
      </c>
      <c r="Q484" s="5">
        <f t="shared" si="17"/>
        <v>1507.92862874704</v>
      </c>
      <c r="T484" s="26"/>
      <c r="U484" s="26">
        <v>184.4941667</v>
      </c>
      <c r="V484" s="26"/>
      <c r="W484" s="26">
        <f t="shared" si="40"/>
        <v>355737.924542774</v>
      </c>
      <c r="X484" s="26">
        <f t="shared" si="41"/>
        <v>355760.607</v>
      </c>
      <c r="Y484" s="26"/>
    </row>
    <row r="485" ht="14.25" customHeight="1" spans="1:25">
      <c r="A485" s="10" t="s">
        <v>511</v>
      </c>
      <c r="B485">
        <v>1.308</v>
      </c>
      <c r="C485">
        <v>1.154</v>
      </c>
      <c r="D485">
        <v>1</v>
      </c>
      <c r="E485">
        <v>286</v>
      </c>
      <c r="F485">
        <v>7</v>
      </c>
      <c r="G485">
        <v>51</v>
      </c>
      <c r="H485" s="5">
        <f t="shared" si="0"/>
        <v>286.130833333333</v>
      </c>
      <c r="I485">
        <v>86</v>
      </c>
      <c r="J485">
        <v>27</v>
      </c>
      <c r="K485">
        <v>49</v>
      </c>
      <c r="L485" s="5">
        <f t="shared" si="1"/>
        <v>86.4636111111111</v>
      </c>
      <c r="M485" s="5">
        <f t="shared" si="28"/>
        <v>30.6828144868426</v>
      </c>
      <c r="N485" s="5">
        <f t="shared" si="29"/>
        <v>1.8962018248997</v>
      </c>
      <c r="O485">
        <v>1.52</v>
      </c>
      <c r="P485">
        <v>1505.676</v>
      </c>
      <c r="Q485" s="5">
        <f t="shared" si="17"/>
        <v>1507.9382018249</v>
      </c>
      <c r="T485" s="26"/>
      <c r="U485" s="26">
        <v>185.4941667</v>
      </c>
      <c r="V485" s="26"/>
      <c r="W485" s="26">
        <f t="shared" si="40"/>
        <v>355733.211571931</v>
      </c>
      <c r="X485" s="26">
        <f t="shared" si="41"/>
        <v>355760.607</v>
      </c>
      <c r="Y485" s="26"/>
    </row>
    <row r="486" ht="14.25" customHeight="1" spans="1:25">
      <c r="A486" s="10" t="s">
        <v>512</v>
      </c>
      <c r="B486">
        <v>1.12</v>
      </c>
      <c r="C486">
        <v>0.96</v>
      </c>
      <c r="D486">
        <v>0.8</v>
      </c>
      <c r="E486">
        <v>288</v>
      </c>
      <c r="F486">
        <v>41</v>
      </c>
      <c r="G486">
        <v>50</v>
      </c>
      <c r="H486" s="5">
        <f t="shared" si="0"/>
        <v>288.697222222222</v>
      </c>
      <c r="I486">
        <v>86</v>
      </c>
      <c r="J486">
        <v>52</v>
      </c>
      <c r="K486">
        <v>1</v>
      </c>
      <c r="L486" s="5">
        <f t="shared" si="1"/>
        <v>86.8669444444444</v>
      </c>
      <c r="M486" s="5">
        <f t="shared" si="28"/>
        <v>31.9044109829768</v>
      </c>
      <c r="N486" s="5">
        <f t="shared" si="29"/>
        <v>1.74634225871321</v>
      </c>
      <c r="O486">
        <v>1.52</v>
      </c>
      <c r="P486">
        <v>1505.676</v>
      </c>
      <c r="Q486" s="5">
        <f t="shared" si="17"/>
        <v>1507.98234225871</v>
      </c>
      <c r="T486" s="26"/>
      <c r="U486" s="26">
        <v>186.4941667</v>
      </c>
      <c r="V486" s="26"/>
      <c r="W486" s="26">
        <f t="shared" si="40"/>
        <v>355727.954750096</v>
      </c>
      <c r="X486" s="26">
        <f t="shared" si="41"/>
        <v>355760.607</v>
      </c>
      <c r="Y486" s="26"/>
    </row>
    <row r="487" ht="14.25" customHeight="1" spans="1:25">
      <c r="A487" s="10" t="s">
        <v>513</v>
      </c>
      <c r="B487">
        <v>1.696</v>
      </c>
      <c r="C487">
        <v>1.548</v>
      </c>
      <c r="D487">
        <v>1.4</v>
      </c>
      <c r="E487">
        <v>291</v>
      </c>
      <c r="F487">
        <v>56</v>
      </c>
      <c r="G487">
        <v>20</v>
      </c>
      <c r="H487" s="5">
        <f t="shared" si="0"/>
        <v>291.938888888889</v>
      </c>
      <c r="I487">
        <v>85</v>
      </c>
      <c r="J487">
        <v>29</v>
      </c>
      <c r="K487">
        <v>51</v>
      </c>
      <c r="L487" s="5">
        <f t="shared" si="1"/>
        <v>85.4975</v>
      </c>
      <c r="M487" s="5">
        <f t="shared" si="28"/>
        <v>29.4175853432085</v>
      </c>
      <c r="N487" s="5">
        <f t="shared" si="29"/>
        <v>2.31650571637905</v>
      </c>
      <c r="O487">
        <v>1.52</v>
      </c>
      <c r="P487">
        <v>1505.676</v>
      </c>
      <c r="Q487" s="5">
        <f t="shared" si="17"/>
        <v>1507.96450571638</v>
      </c>
      <c r="T487" s="26"/>
      <c r="U487" s="26">
        <v>187.4941667</v>
      </c>
      <c r="V487" s="26"/>
      <c r="W487" s="26">
        <f t="shared" si="40"/>
        <v>355722.53079665</v>
      </c>
      <c r="X487" s="26">
        <f t="shared" si="41"/>
        <v>355760.607</v>
      </c>
      <c r="Y487" s="26"/>
    </row>
    <row r="488" ht="14.25" customHeight="1" spans="1:25">
      <c r="A488" s="10" t="s">
        <v>514</v>
      </c>
      <c r="B488">
        <v>1.014</v>
      </c>
      <c r="C488">
        <v>0.856</v>
      </c>
      <c r="D488">
        <v>0.7</v>
      </c>
      <c r="E488">
        <v>295</v>
      </c>
      <c r="F488">
        <v>45</v>
      </c>
      <c r="G488">
        <v>46</v>
      </c>
      <c r="H488" s="5">
        <f t="shared" si="0"/>
        <v>295.762777777778</v>
      </c>
      <c r="I488">
        <v>83</v>
      </c>
      <c r="J488">
        <v>44</v>
      </c>
      <c r="K488">
        <v>48</v>
      </c>
      <c r="L488" s="5">
        <f t="shared" si="1"/>
        <v>83.7466666666667</v>
      </c>
      <c r="M488" s="5">
        <f t="shared" si="28"/>
        <v>31.0274518209111</v>
      </c>
      <c r="N488" s="5">
        <f t="shared" si="29"/>
        <v>3.39988539184039</v>
      </c>
      <c r="O488">
        <v>1.52</v>
      </c>
      <c r="P488">
        <v>1505.676</v>
      </c>
      <c r="Q488" s="5">
        <f t="shared" si="17"/>
        <v>1509.73988539184</v>
      </c>
      <c r="T488" s="26"/>
      <c r="U488" s="26">
        <v>188.4941667</v>
      </c>
      <c r="V488" s="26"/>
      <c r="W488" s="26">
        <f t="shared" si="40"/>
        <v>355716.920259027</v>
      </c>
      <c r="X488" s="26">
        <f t="shared" si="41"/>
        <v>355760.607</v>
      </c>
      <c r="Y488" s="26"/>
    </row>
    <row r="489" ht="14.25" customHeight="1" spans="1:25">
      <c r="A489" s="10" t="s">
        <v>515</v>
      </c>
      <c r="B489">
        <v>1.33</v>
      </c>
      <c r="C489">
        <v>1.165</v>
      </c>
      <c r="D489">
        <v>1</v>
      </c>
      <c r="E489">
        <v>297</v>
      </c>
      <c r="F489">
        <v>35</v>
      </c>
      <c r="G489">
        <v>35</v>
      </c>
      <c r="H489" s="5">
        <f t="shared" si="0"/>
        <v>297.593055555556</v>
      </c>
      <c r="I489">
        <v>83</v>
      </c>
      <c r="J489">
        <v>26</v>
      </c>
      <c r="K489">
        <v>32</v>
      </c>
      <c r="L489" s="5">
        <f t="shared" si="1"/>
        <v>83.4422222222222</v>
      </c>
      <c r="M489" s="5">
        <f t="shared" si="28"/>
        <v>32.5695875428663</v>
      </c>
      <c r="N489" s="5">
        <f t="shared" si="29"/>
        <v>3.74410953394218</v>
      </c>
      <c r="O489">
        <v>1.52</v>
      </c>
      <c r="P489">
        <v>1505.676</v>
      </c>
      <c r="Q489" s="5">
        <f t="shared" si="17"/>
        <v>1509.77510953394</v>
      </c>
      <c r="T489" s="26"/>
      <c r="U489" s="26">
        <v>189.4941667</v>
      </c>
      <c r="V489" s="26"/>
      <c r="W489" s="26">
        <f t="shared" si="40"/>
        <v>355711.519861304</v>
      </c>
      <c r="X489" s="26">
        <f t="shared" si="41"/>
        <v>355760.607</v>
      </c>
      <c r="Y489" s="26"/>
    </row>
    <row r="490" ht="14.25" customHeight="1" spans="1:25">
      <c r="A490" s="10" t="s">
        <v>516</v>
      </c>
      <c r="B490">
        <v>1.134</v>
      </c>
      <c r="C490">
        <v>0.967</v>
      </c>
      <c r="D490">
        <v>0.8</v>
      </c>
      <c r="E490">
        <v>292</v>
      </c>
      <c r="F490">
        <v>24</v>
      </c>
      <c r="G490">
        <v>52</v>
      </c>
      <c r="H490" s="5">
        <f t="shared" si="0"/>
        <v>292.414444444444</v>
      </c>
      <c r="I490">
        <v>83</v>
      </c>
      <c r="J490">
        <v>57</v>
      </c>
      <c r="K490">
        <v>30</v>
      </c>
      <c r="L490" s="5">
        <f t="shared" si="1"/>
        <v>83.9583333333333</v>
      </c>
      <c r="M490" s="5">
        <f t="shared" si="28"/>
        <v>33.0299976549983</v>
      </c>
      <c r="N490" s="5">
        <f t="shared" si="29"/>
        <v>3.49587994469903</v>
      </c>
      <c r="O490">
        <v>1.52</v>
      </c>
      <c r="P490">
        <v>1505.676</v>
      </c>
      <c r="Q490" s="5">
        <f t="shared" si="17"/>
        <v>1509.7248799447</v>
      </c>
      <c r="T490" s="26"/>
      <c r="U490" s="26">
        <v>190.4941667</v>
      </c>
      <c r="V490" s="26"/>
      <c r="W490" s="26">
        <f t="shared" si="40"/>
        <v>355707.347972491</v>
      </c>
      <c r="X490" s="26">
        <f t="shared" si="41"/>
        <v>355760.607</v>
      </c>
      <c r="Y490" s="26"/>
    </row>
    <row r="491" ht="14.25" customHeight="1" spans="1:25">
      <c r="A491" s="10" t="s">
        <v>517</v>
      </c>
      <c r="B491">
        <v>1.144</v>
      </c>
      <c r="C491">
        <v>0.972</v>
      </c>
      <c r="D491">
        <v>0.8</v>
      </c>
      <c r="E491">
        <v>294</v>
      </c>
      <c r="F491">
        <v>10</v>
      </c>
      <c r="G491">
        <v>3</v>
      </c>
      <c r="H491" s="5">
        <f t="shared" si="0"/>
        <v>294.1675</v>
      </c>
      <c r="I491">
        <v>84</v>
      </c>
      <c r="J491">
        <v>7</v>
      </c>
      <c r="K491">
        <v>17</v>
      </c>
      <c r="L491" s="5">
        <f t="shared" si="1"/>
        <v>84.1213888888889</v>
      </c>
      <c r="M491" s="5">
        <f t="shared" si="28"/>
        <v>34.0391404799651</v>
      </c>
      <c r="N491" s="5">
        <f t="shared" si="29"/>
        <v>3.50476074732652</v>
      </c>
      <c r="O491">
        <v>1.52</v>
      </c>
      <c r="P491">
        <v>1505.676</v>
      </c>
      <c r="Q491" s="5">
        <f t="shared" si="17"/>
        <v>1509.72876074733</v>
      </c>
      <c r="T491" s="26"/>
      <c r="U491" s="26">
        <v>191.4941667</v>
      </c>
      <c r="V491" s="26"/>
      <c r="W491" s="26">
        <f t="shared" si="40"/>
        <v>355701.988781369</v>
      </c>
      <c r="X491" s="26">
        <f t="shared" si="41"/>
        <v>355760.607</v>
      </c>
      <c r="Y491" s="26"/>
    </row>
    <row r="492" ht="14.25" customHeight="1" spans="1:25">
      <c r="A492" s="10" t="s">
        <v>518</v>
      </c>
      <c r="B492">
        <v>0.468</v>
      </c>
      <c r="C492">
        <v>0.284</v>
      </c>
      <c r="D492">
        <v>0.1</v>
      </c>
      <c r="E492">
        <v>297</v>
      </c>
      <c r="F492">
        <v>2</v>
      </c>
      <c r="G492">
        <v>52</v>
      </c>
      <c r="H492" s="5">
        <f t="shared" si="0"/>
        <v>297.047777777778</v>
      </c>
      <c r="I492">
        <v>82</v>
      </c>
      <c r="J492">
        <v>47</v>
      </c>
      <c r="K492">
        <v>18</v>
      </c>
      <c r="L492" s="5">
        <f t="shared" si="1"/>
        <v>82.7883333333333</v>
      </c>
      <c r="M492" s="5">
        <f t="shared" si="28"/>
        <v>36.220065183938</v>
      </c>
      <c r="N492" s="5">
        <f t="shared" si="29"/>
        <v>4.58315140925982</v>
      </c>
      <c r="O492">
        <v>1.52</v>
      </c>
      <c r="P492">
        <v>1505.676</v>
      </c>
      <c r="Q492" s="5">
        <f t="shared" si="17"/>
        <v>1511.49515140926</v>
      </c>
      <c r="T492" s="26"/>
      <c r="U492" s="26">
        <v>192.4941667</v>
      </c>
      <c r="V492" s="26"/>
      <c r="W492" s="26">
        <f t="shared" si="40"/>
        <v>355696.343619515</v>
      </c>
      <c r="X492" s="26">
        <f t="shared" si="41"/>
        <v>355760.607</v>
      </c>
      <c r="Y492" s="26"/>
    </row>
    <row r="493" ht="14.25" customHeight="1" spans="1:25">
      <c r="A493" s="10" t="s">
        <v>519</v>
      </c>
      <c r="B493">
        <v>1.356</v>
      </c>
      <c r="C493">
        <v>1.178</v>
      </c>
      <c r="D493">
        <v>1</v>
      </c>
      <c r="E493">
        <v>300</v>
      </c>
      <c r="F493">
        <v>51</v>
      </c>
      <c r="G493">
        <v>10</v>
      </c>
      <c r="H493" s="5">
        <f t="shared" si="0"/>
        <v>300.852777777778</v>
      </c>
      <c r="I493">
        <v>80</v>
      </c>
      <c r="J493">
        <v>52</v>
      </c>
      <c r="K493">
        <v>7</v>
      </c>
      <c r="L493" s="5">
        <f t="shared" si="1"/>
        <v>80.8686111111111</v>
      </c>
      <c r="M493" s="5">
        <f t="shared" si="28"/>
        <v>34.7034008739354</v>
      </c>
      <c r="N493" s="5">
        <f t="shared" si="29"/>
        <v>5.57808559409403</v>
      </c>
      <c r="O493">
        <v>1.52</v>
      </c>
      <c r="P493">
        <v>1505.676</v>
      </c>
      <c r="Q493" s="5">
        <f t="shared" si="17"/>
        <v>1511.59608559409</v>
      </c>
      <c r="T493" s="26"/>
      <c r="U493" s="26">
        <v>193.4941667</v>
      </c>
      <c r="V493" s="26"/>
      <c r="W493" s="26">
        <f t="shared" si="40"/>
        <v>355690.404097662</v>
      </c>
      <c r="X493" s="26">
        <f t="shared" si="41"/>
        <v>355760.607</v>
      </c>
      <c r="Y493" s="26"/>
    </row>
    <row r="494" ht="14.25" customHeight="1" spans="1:25">
      <c r="A494" s="10" t="s">
        <v>520</v>
      </c>
      <c r="B494">
        <v>2.26</v>
      </c>
      <c r="C494">
        <v>2.13</v>
      </c>
      <c r="D494">
        <v>2</v>
      </c>
      <c r="E494">
        <v>302</v>
      </c>
      <c r="F494">
        <v>31</v>
      </c>
      <c r="G494">
        <v>4</v>
      </c>
      <c r="H494" s="5">
        <f t="shared" si="0"/>
        <v>302.517777777778</v>
      </c>
      <c r="I494">
        <v>79</v>
      </c>
      <c r="J494">
        <v>36</v>
      </c>
      <c r="K494">
        <v>9</v>
      </c>
      <c r="L494" s="5">
        <f t="shared" si="1"/>
        <v>79.6025</v>
      </c>
      <c r="M494" s="5">
        <f t="shared" si="28"/>
        <v>25.1531366029434</v>
      </c>
      <c r="N494" s="5">
        <f t="shared" si="29"/>
        <v>4.61532996764017</v>
      </c>
      <c r="O494">
        <v>1.52</v>
      </c>
      <c r="P494">
        <v>1505.676</v>
      </c>
      <c r="Q494" s="5">
        <f t="shared" si="17"/>
        <v>1509.68132996764</v>
      </c>
      <c r="T494" s="26"/>
      <c r="U494" s="26">
        <v>194.4941667</v>
      </c>
      <c r="V494" s="26"/>
      <c r="W494" s="26">
        <f t="shared" si="40"/>
        <v>355684.892416225</v>
      </c>
      <c r="X494" s="26">
        <f t="shared" si="41"/>
        <v>355760.607</v>
      </c>
      <c r="Y494" s="26"/>
    </row>
    <row r="495" ht="14.25" customHeight="1" spans="1:25">
      <c r="A495" s="10" t="s">
        <v>521</v>
      </c>
      <c r="B495">
        <v>0.873</v>
      </c>
      <c r="C495">
        <v>0.686</v>
      </c>
      <c r="D495">
        <v>0.5</v>
      </c>
      <c r="E495">
        <v>299</v>
      </c>
      <c r="F495">
        <v>9</v>
      </c>
      <c r="G495">
        <v>13</v>
      </c>
      <c r="H495" s="5">
        <f t="shared" si="0"/>
        <v>299.153611111111</v>
      </c>
      <c r="I495">
        <v>84</v>
      </c>
      <c r="J495">
        <v>22</v>
      </c>
      <c r="K495">
        <v>2</v>
      </c>
      <c r="L495" s="5">
        <f t="shared" si="1"/>
        <v>84.3672222222222</v>
      </c>
      <c r="M495" s="5">
        <f t="shared" si="28"/>
        <v>36.9406569862121</v>
      </c>
      <c r="N495" s="5">
        <f t="shared" si="29"/>
        <v>3.64340047383343</v>
      </c>
      <c r="O495">
        <v>1.52</v>
      </c>
      <c r="P495">
        <v>1505.676</v>
      </c>
      <c r="Q495" s="5">
        <f t="shared" si="17"/>
        <v>1510.15340047383</v>
      </c>
      <c r="T495" s="26"/>
      <c r="U495" s="26">
        <v>195.4941667</v>
      </c>
      <c r="V495" s="26"/>
      <c r="W495" s="26">
        <f t="shared" si="40"/>
        <v>355680.691024267</v>
      </c>
      <c r="X495" s="26">
        <f t="shared" si="41"/>
        <v>355760.607</v>
      </c>
      <c r="Y495" s="26"/>
    </row>
    <row r="496" ht="14.25" customHeight="1" spans="1:25">
      <c r="A496" s="10" t="s">
        <v>522</v>
      </c>
      <c r="B496">
        <v>1.524</v>
      </c>
      <c r="C496">
        <v>1.412</v>
      </c>
      <c r="D496">
        <v>1.3</v>
      </c>
      <c r="E496">
        <v>251</v>
      </c>
      <c r="F496">
        <v>21</v>
      </c>
      <c r="G496">
        <v>59</v>
      </c>
      <c r="H496" s="5">
        <f t="shared" si="0"/>
        <v>251.366388888889</v>
      </c>
      <c r="I496">
        <v>92</v>
      </c>
      <c r="J496">
        <v>23</v>
      </c>
      <c r="K496">
        <v>52</v>
      </c>
      <c r="L496" s="5">
        <f t="shared" si="1"/>
        <v>92.3977777777778</v>
      </c>
      <c r="M496" s="5">
        <f t="shared" si="28"/>
        <v>22.3607926881651</v>
      </c>
      <c r="N496" s="5">
        <f t="shared" si="29"/>
        <v>-0.936326103341847</v>
      </c>
      <c r="O496">
        <v>1.52</v>
      </c>
      <c r="P496">
        <v>1505.676</v>
      </c>
      <c r="Q496" s="5">
        <f t="shared" si="17"/>
        <v>1504.84767389666</v>
      </c>
      <c r="T496" s="26"/>
      <c r="U496" s="26">
        <v>196.4941667</v>
      </c>
      <c r="V496" s="26"/>
      <c r="W496" s="26">
        <f t="shared" si="40"/>
        <v>355689.239626488</v>
      </c>
      <c r="X496" s="26">
        <f t="shared" si="41"/>
        <v>355760.607</v>
      </c>
      <c r="Y496" s="26"/>
    </row>
    <row r="497" ht="14.25" customHeight="1" spans="1:25">
      <c r="A497" s="10" t="s">
        <v>523</v>
      </c>
      <c r="B497">
        <v>1.3</v>
      </c>
      <c r="C497">
        <v>1.125</v>
      </c>
      <c r="D497">
        <v>1</v>
      </c>
      <c r="E497">
        <v>251</v>
      </c>
      <c r="F497">
        <v>12</v>
      </c>
      <c r="G497">
        <v>31</v>
      </c>
      <c r="H497" s="5">
        <f t="shared" si="0"/>
        <v>251.208611111111</v>
      </c>
      <c r="I497">
        <v>92</v>
      </c>
      <c r="J497">
        <v>45</v>
      </c>
      <c r="K497">
        <v>1</v>
      </c>
      <c r="L497" s="5">
        <f t="shared" si="1"/>
        <v>92.7502777777778</v>
      </c>
      <c r="M497" s="5">
        <f t="shared" si="28"/>
        <v>29.9309290346062</v>
      </c>
      <c r="N497" s="5">
        <f t="shared" si="29"/>
        <v>-1.4378310622443</v>
      </c>
      <c r="O497">
        <v>1.52</v>
      </c>
      <c r="P497">
        <v>1505.676</v>
      </c>
      <c r="Q497" s="5">
        <f t="shared" si="17"/>
        <v>1504.63316893776</v>
      </c>
      <c r="T497" s="26"/>
      <c r="U497" s="26">
        <v>197.4941667</v>
      </c>
      <c r="V497" s="26"/>
      <c r="W497" s="26">
        <f t="shared" si="40"/>
        <v>355685.091505941</v>
      </c>
      <c r="X497" s="26">
        <f t="shared" si="41"/>
        <v>355760.607</v>
      </c>
      <c r="Y497" s="26"/>
    </row>
    <row r="498" ht="14.25" customHeight="1" spans="1:25">
      <c r="A498" s="10" t="s">
        <v>524</v>
      </c>
      <c r="B498">
        <v>1.915</v>
      </c>
      <c r="C498">
        <v>1.808</v>
      </c>
      <c r="D498">
        <v>1.7</v>
      </c>
      <c r="E498">
        <v>253</v>
      </c>
      <c r="F498">
        <v>21</v>
      </c>
      <c r="G498">
        <v>52</v>
      </c>
      <c r="H498" s="5">
        <f t="shared" si="0"/>
        <v>253.364444444444</v>
      </c>
      <c r="I498">
        <v>91</v>
      </c>
      <c r="J498">
        <v>24</v>
      </c>
      <c r="K498">
        <v>45</v>
      </c>
      <c r="L498" s="5">
        <f t="shared" si="1"/>
        <v>91.4125</v>
      </c>
      <c r="M498" s="5">
        <f t="shared" si="28"/>
        <v>21.486935820945</v>
      </c>
      <c r="N498" s="5">
        <f t="shared" si="29"/>
        <v>-0.529819947630581</v>
      </c>
      <c r="O498">
        <v>1.52</v>
      </c>
      <c r="P498">
        <v>1505.676</v>
      </c>
      <c r="Q498" s="5">
        <f t="shared" si="17"/>
        <v>1504.85818005237</v>
      </c>
      <c r="T498" s="26"/>
      <c r="U498" s="26">
        <v>198.4941667</v>
      </c>
      <c r="V498" s="26"/>
      <c r="W498" s="26">
        <f t="shared" si="40"/>
        <v>355680.237744429</v>
      </c>
      <c r="X498" s="26">
        <f t="shared" si="41"/>
        <v>355760.607</v>
      </c>
      <c r="Y498" s="26"/>
    </row>
    <row r="499" ht="14.25" customHeight="1" spans="1:25">
      <c r="A499" s="10" t="s">
        <v>525</v>
      </c>
      <c r="B499">
        <v>1.23</v>
      </c>
      <c r="C499">
        <v>1.115</v>
      </c>
      <c r="D499">
        <v>1</v>
      </c>
      <c r="E499">
        <v>149</v>
      </c>
      <c r="F499">
        <v>59</v>
      </c>
      <c r="G499">
        <v>26</v>
      </c>
      <c r="H499" s="5">
        <f t="shared" si="0"/>
        <v>149.990555555556</v>
      </c>
      <c r="I499">
        <v>100</v>
      </c>
      <c r="J499">
        <v>55</v>
      </c>
      <c r="K499">
        <v>35</v>
      </c>
      <c r="L499" s="5">
        <f t="shared" si="1"/>
        <v>100.926388888889</v>
      </c>
      <c r="M499" s="5">
        <f t="shared" si="28"/>
        <v>22.1736485137361</v>
      </c>
      <c r="N499" s="5">
        <f t="shared" si="29"/>
        <v>-4.28056391205861</v>
      </c>
      <c r="O499">
        <v>1.52</v>
      </c>
      <c r="P499">
        <v>1505.676</v>
      </c>
      <c r="Q499" s="5">
        <f t="shared" si="17"/>
        <v>1501.80043608794</v>
      </c>
      <c r="T499" s="26"/>
      <c r="U499" s="26">
        <v>199.4941667</v>
      </c>
      <c r="V499" s="26"/>
      <c r="W499" s="26">
        <f t="shared" si="40"/>
        <v>355710.553518615</v>
      </c>
      <c r="X499" s="26">
        <f t="shared" si="41"/>
        <v>355760.607</v>
      </c>
      <c r="Y499" s="26"/>
    </row>
    <row r="500" ht="14.25" customHeight="1" spans="1:25">
      <c r="A500" s="10" t="s">
        <v>526</v>
      </c>
      <c r="B500">
        <v>1.208</v>
      </c>
      <c r="C500">
        <v>1.104</v>
      </c>
      <c r="D500">
        <v>1</v>
      </c>
      <c r="E500">
        <v>179</v>
      </c>
      <c r="F500">
        <v>0</v>
      </c>
      <c r="G500">
        <v>18</v>
      </c>
      <c r="H500" s="5">
        <f t="shared" si="0"/>
        <v>179.005</v>
      </c>
      <c r="I500">
        <v>100</v>
      </c>
      <c r="J500">
        <v>3</v>
      </c>
      <c r="K500">
        <v>33</v>
      </c>
      <c r="L500" s="5">
        <f t="shared" si="1"/>
        <v>100.059166666667</v>
      </c>
      <c r="M500" s="5">
        <f t="shared" si="28"/>
        <v>20.1654361044616</v>
      </c>
      <c r="N500" s="5">
        <f t="shared" si="29"/>
        <v>-3.57718572199949</v>
      </c>
      <c r="O500">
        <v>1.52</v>
      </c>
      <c r="P500">
        <v>1505.676</v>
      </c>
      <c r="Q500" s="5">
        <f t="shared" si="17"/>
        <v>1502.514814278</v>
      </c>
      <c r="T500" s="26"/>
      <c r="U500" s="26">
        <v>200.4941667</v>
      </c>
      <c r="V500" s="26"/>
      <c r="W500" s="26">
        <f t="shared" si="40"/>
        <v>355697.935198396</v>
      </c>
      <c r="X500" s="26">
        <f t="shared" si="41"/>
        <v>355760.607</v>
      </c>
      <c r="Y500" s="26"/>
    </row>
    <row r="501" ht="14.25" customHeight="1" spans="1:25">
      <c r="A501" s="10" t="s">
        <v>527</v>
      </c>
      <c r="B501">
        <v>1.258</v>
      </c>
      <c r="C501">
        <v>1.129</v>
      </c>
      <c r="D501">
        <v>1</v>
      </c>
      <c r="E501">
        <v>208</v>
      </c>
      <c r="F501">
        <v>52</v>
      </c>
      <c r="G501">
        <v>4</v>
      </c>
      <c r="H501" s="5">
        <f t="shared" si="0"/>
        <v>208.867777777778</v>
      </c>
      <c r="I501">
        <v>97</v>
      </c>
      <c r="J501">
        <v>56</v>
      </c>
      <c r="K501">
        <v>10</v>
      </c>
      <c r="L501" s="5">
        <f t="shared" si="1"/>
        <v>97.9361111111111</v>
      </c>
      <c r="M501" s="5">
        <f t="shared" si="28"/>
        <v>25.3081748024705</v>
      </c>
      <c r="N501" s="5">
        <f t="shared" si="29"/>
        <v>-3.52805868309124</v>
      </c>
      <c r="O501">
        <v>1.52</v>
      </c>
      <c r="P501">
        <v>1505.676</v>
      </c>
      <c r="Q501" s="5">
        <f t="shared" si="17"/>
        <v>1502.53894131691</v>
      </c>
      <c r="T501" s="26"/>
      <c r="U501" s="26">
        <v>201.4941667</v>
      </c>
      <c r="V501" s="26"/>
      <c r="W501" s="26">
        <f t="shared" si="40"/>
        <v>355684.076488755</v>
      </c>
      <c r="X501" s="26">
        <f t="shared" si="41"/>
        <v>355760.607</v>
      </c>
      <c r="Y501" s="26"/>
    </row>
    <row r="502" ht="14.25" customHeight="1" spans="1:25">
      <c r="A502" s="10" t="s">
        <v>528</v>
      </c>
      <c r="B502">
        <v>1.212</v>
      </c>
      <c r="C502">
        <v>1.106</v>
      </c>
      <c r="D502">
        <v>1</v>
      </c>
      <c r="E502">
        <v>220</v>
      </c>
      <c r="F502">
        <v>20</v>
      </c>
      <c r="G502">
        <v>13</v>
      </c>
      <c r="H502" s="5">
        <f t="shared" si="0"/>
        <v>220.336944444444</v>
      </c>
      <c r="I502">
        <v>99</v>
      </c>
      <c r="J502">
        <v>58</v>
      </c>
      <c r="K502">
        <v>34</v>
      </c>
      <c r="L502" s="5">
        <f t="shared" si="1"/>
        <v>99.9761111111111</v>
      </c>
      <c r="M502" s="5">
        <f t="shared" si="28"/>
        <v>20.5637614749813</v>
      </c>
      <c r="N502" s="5">
        <f t="shared" si="29"/>
        <v>-3.61710620105067</v>
      </c>
      <c r="O502">
        <v>1.52</v>
      </c>
      <c r="P502">
        <v>1505.676</v>
      </c>
      <c r="Q502" s="5">
        <f t="shared" si="17"/>
        <v>1502.47289379895</v>
      </c>
      <c r="T502" s="26"/>
      <c r="U502" s="26">
        <v>202.4941667</v>
      </c>
      <c r="V502" s="26"/>
      <c r="W502" s="26">
        <f t="shared" si="40"/>
        <v>355676.308427157</v>
      </c>
      <c r="X502" s="26">
        <f t="shared" si="41"/>
        <v>355760.607</v>
      </c>
      <c r="Y502" s="26"/>
    </row>
    <row r="503" ht="14.25" customHeight="1" spans="1:25">
      <c r="A503" s="10" t="s">
        <v>529</v>
      </c>
      <c r="B503">
        <v>1.134</v>
      </c>
      <c r="C503">
        <v>1.067</v>
      </c>
      <c r="D503">
        <v>1</v>
      </c>
      <c r="E503">
        <v>195</v>
      </c>
      <c r="F503">
        <v>32</v>
      </c>
      <c r="G503">
        <v>26</v>
      </c>
      <c r="H503" s="5">
        <f t="shared" si="0"/>
        <v>195.540555555556</v>
      </c>
      <c r="I503">
        <v>105</v>
      </c>
      <c r="J503">
        <v>58</v>
      </c>
      <c r="K503">
        <v>27</v>
      </c>
      <c r="L503" s="5">
        <f t="shared" si="1"/>
        <v>105.974166666667</v>
      </c>
      <c r="M503" s="5">
        <f t="shared" si="28"/>
        <v>12.385121572365</v>
      </c>
      <c r="N503" s="5">
        <f t="shared" si="29"/>
        <v>-3.54533393454403</v>
      </c>
      <c r="O503">
        <v>1.52</v>
      </c>
      <c r="P503">
        <v>1505.676</v>
      </c>
      <c r="Q503" s="5">
        <f t="shared" si="17"/>
        <v>1502.58366606546</v>
      </c>
      <c r="T503" s="26"/>
      <c r="U503" s="26">
        <v>203.4941667</v>
      </c>
      <c r="V503" s="26"/>
      <c r="W503" s="26">
        <f t="shared" si="40"/>
        <v>355682.653642725</v>
      </c>
      <c r="X503" s="26">
        <f t="shared" si="41"/>
        <v>355760.607</v>
      </c>
      <c r="Y503" s="26"/>
    </row>
    <row r="504" ht="14.25" customHeight="1" spans="1:25">
      <c r="A504" s="10" t="s">
        <v>530</v>
      </c>
      <c r="B504">
        <v>1.124</v>
      </c>
      <c r="C504">
        <v>1.062</v>
      </c>
      <c r="D504">
        <v>1</v>
      </c>
      <c r="E504">
        <v>140</v>
      </c>
      <c r="F504">
        <v>8</v>
      </c>
      <c r="G504">
        <v>21</v>
      </c>
      <c r="H504" s="5">
        <f t="shared" si="0"/>
        <v>140.139166666667</v>
      </c>
      <c r="I504">
        <v>106</v>
      </c>
      <c r="J504">
        <v>7</v>
      </c>
      <c r="K504">
        <v>4</v>
      </c>
      <c r="L504" s="5">
        <f t="shared" si="1"/>
        <v>106.117777777778</v>
      </c>
      <c r="M504" s="5">
        <f t="shared" si="28"/>
        <v>11.4443463883912</v>
      </c>
      <c r="N504" s="5">
        <f t="shared" si="29"/>
        <v>-3.30708798772707</v>
      </c>
      <c r="O504">
        <v>1.52</v>
      </c>
      <c r="P504">
        <v>1505.676</v>
      </c>
      <c r="Q504" s="5">
        <f t="shared" si="17"/>
        <v>1502.82691201227</v>
      </c>
      <c r="T504" s="26"/>
      <c r="U504" s="26">
        <v>204.4941667</v>
      </c>
      <c r="V504" s="26"/>
      <c r="W504" s="26">
        <f t="shared" si="40"/>
        <v>355702.505217766</v>
      </c>
      <c r="X504" s="26">
        <f t="shared" si="41"/>
        <v>355760.607</v>
      </c>
      <c r="Y504" s="26"/>
    </row>
    <row r="505" ht="14.25" customHeight="1" spans="1:25">
      <c r="A505" s="10" t="s">
        <v>531</v>
      </c>
      <c r="B505">
        <v>1.08</v>
      </c>
      <c r="C505">
        <v>1.04</v>
      </c>
      <c r="D505">
        <v>1</v>
      </c>
      <c r="E505">
        <v>134</v>
      </c>
      <c r="F505">
        <v>13</v>
      </c>
      <c r="G505">
        <v>27</v>
      </c>
      <c r="H505" s="5">
        <f t="shared" si="0"/>
        <v>134.224166666667</v>
      </c>
      <c r="I505">
        <v>112</v>
      </c>
      <c r="J505">
        <v>29</v>
      </c>
      <c r="K505">
        <v>45</v>
      </c>
      <c r="L505" s="5">
        <f t="shared" si="1"/>
        <v>112.495833333333</v>
      </c>
      <c r="M505" s="5">
        <f t="shared" si="28"/>
        <v>6.82883847287832</v>
      </c>
      <c r="N505" s="5">
        <f t="shared" si="29"/>
        <v>-2.82801571678156</v>
      </c>
      <c r="O505">
        <v>1.52</v>
      </c>
      <c r="P505">
        <v>1505.676</v>
      </c>
      <c r="Q505" s="5">
        <f t="shared" si="17"/>
        <v>1503.32798428322</v>
      </c>
      <c r="T505" s="26"/>
      <c r="U505" s="26">
        <v>205.4941667</v>
      </c>
      <c r="V505" s="26"/>
      <c r="W505" s="26">
        <f t="shared" si="40"/>
        <v>355702.834341223</v>
      </c>
      <c r="X505" s="26">
        <f t="shared" si="41"/>
        <v>355760.607</v>
      </c>
      <c r="Y505" s="26"/>
    </row>
    <row r="506" ht="14.25" customHeight="1" spans="1:25">
      <c r="A506" s="10" t="s">
        <v>532</v>
      </c>
      <c r="B506">
        <v>1.108</v>
      </c>
      <c r="C506">
        <v>1.054</v>
      </c>
      <c r="D506">
        <v>1</v>
      </c>
      <c r="E506">
        <v>218</v>
      </c>
      <c r="F506">
        <v>39</v>
      </c>
      <c r="G506">
        <v>45</v>
      </c>
      <c r="H506" s="5">
        <f t="shared" si="0"/>
        <v>218.6625</v>
      </c>
      <c r="I506">
        <v>106</v>
      </c>
      <c r="J506">
        <v>46</v>
      </c>
      <c r="K506">
        <v>38</v>
      </c>
      <c r="L506" s="5">
        <f t="shared" si="1"/>
        <v>106.777222222222</v>
      </c>
      <c r="M506" s="5">
        <f t="shared" si="28"/>
        <v>9.90014927002196</v>
      </c>
      <c r="N506" s="5">
        <f t="shared" si="29"/>
        <v>-2.98473726607903</v>
      </c>
      <c r="O506">
        <v>1.52</v>
      </c>
      <c r="P506">
        <v>1505.676</v>
      </c>
      <c r="Q506" s="5">
        <f t="shared" si="17"/>
        <v>1503.15726273392</v>
      </c>
      <c r="T506" s="26"/>
      <c r="U506" s="26">
        <v>206.4941667</v>
      </c>
      <c r="V506" s="26"/>
      <c r="W506" s="26">
        <f t="shared" si="40"/>
        <v>355663.060194216</v>
      </c>
      <c r="X506" s="26">
        <f t="shared" si="41"/>
        <v>355760.607</v>
      </c>
      <c r="Y506" s="26"/>
    </row>
    <row r="507" ht="14.25" customHeight="1" spans="1:25">
      <c r="A507" s="10" t="s">
        <v>533</v>
      </c>
      <c r="B507">
        <v>1.39</v>
      </c>
      <c r="C507">
        <v>1.295</v>
      </c>
      <c r="D507">
        <v>1.2</v>
      </c>
      <c r="E507">
        <v>234</v>
      </c>
      <c r="F507">
        <v>41</v>
      </c>
      <c r="G507">
        <v>33</v>
      </c>
      <c r="H507" s="5">
        <f t="shared" si="0"/>
        <v>234.6925</v>
      </c>
      <c r="I507">
        <v>98</v>
      </c>
      <c r="J507">
        <v>53</v>
      </c>
      <c r="K507">
        <v>17</v>
      </c>
      <c r="L507" s="5">
        <f t="shared" si="1"/>
        <v>98.8880555555556</v>
      </c>
      <c r="M507" s="5">
        <f t="shared" si="28"/>
        <v>18.5464392818335</v>
      </c>
      <c r="N507" s="5">
        <f t="shared" si="29"/>
        <v>-2.90033382907893</v>
      </c>
      <c r="O507">
        <v>1.52</v>
      </c>
      <c r="P507">
        <v>1505.676</v>
      </c>
      <c r="Q507" s="5">
        <f t="shared" si="17"/>
        <v>1503.00066617092</v>
      </c>
      <c r="T507" s="26"/>
      <c r="U507" s="26">
        <v>207.4941667</v>
      </c>
      <c r="V507" s="26"/>
      <c r="W507" s="26">
        <f t="shared" si="40"/>
        <v>355652.259258387</v>
      </c>
      <c r="X507" s="26">
        <f t="shared" si="41"/>
        <v>355760.607</v>
      </c>
      <c r="Y507" s="26"/>
    </row>
    <row r="508" ht="14.25" customHeight="1" spans="1:25">
      <c r="A508" s="10" t="s">
        <v>534</v>
      </c>
      <c r="B508">
        <v>1.188</v>
      </c>
      <c r="C508">
        <v>1.094</v>
      </c>
      <c r="D508">
        <v>1</v>
      </c>
      <c r="E508">
        <v>238</v>
      </c>
      <c r="F508">
        <v>44</v>
      </c>
      <c r="G508">
        <v>20</v>
      </c>
      <c r="H508" s="5">
        <f t="shared" si="0"/>
        <v>238.738888888889</v>
      </c>
      <c r="I508">
        <v>96</v>
      </c>
      <c r="J508">
        <v>55</v>
      </c>
      <c r="K508">
        <v>40</v>
      </c>
      <c r="L508" s="5">
        <f t="shared" si="1"/>
        <v>96.9277777777778</v>
      </c>
      <c r="M508" s="5">
        <f t="shared" si="28"/>
        <v>18.5264838276791</v>
      </c>
      <c r="N508" s="5">
        <f t="shared" si="29"/>
        <v>-2.25106484649204</v>
      </c>
      <c r="O508">
        <v>1.52</v>
      </c>
      <c r="P508">
        <v>1505.676</v>
      </c>
      <c r="Q508" s="5">
        <f t="shared" si="17"/>
        <v>1503.85093515351</v>
      </c>
      <c r="T508" s="26"/>
      <c r="U508" s="26">
        <v>208.4941667</v>
      </c>
      <c r="V508" s="26"/>
      <c r="W508" s="26">
        <f t="shared" si="40"/>
        <v>355646.712008838</v>
      </c>
      <c r="X508" s="26">
        <f t="shared" si="41"/>
        <v>355760.607</v>
      </c>
      <c r="Y508" s="26"/>
    </row>
    <row r="509" ht="14.25" customHeight="1" spans="1:25">
      <c r="A509" s="10" t="s">
        <v>535</v>
      </c>
      <c r="B509">
        <v>1.106</v>
      </c>
      <c r="C509">
        <v>1.053</v>
      </c>
      <c r="D509">
        <v>1</v>
      </c>
      <c r="E509">
        <v>228</v>
      </c>
      <c r="F509">
        <v>2</v>
      </c>
      <c r="G509">
        <v>7</v>
      </c>
      <c r="H509" s="5">
        <f t="shared" si="0"/>
        <v>228.035277777778</v>
      </c>
      <c r="I509">
        <v>102</v>
      </c>
      <c r="J509">
        <v>12</v>
      </c>
      <c r="K509">
        <v>28</v>
      </c>
      <c r="L509" s="5">
        <f t="shared" si="1"/>
        <v>102.207777777778</v>
      </c>
      <c r="M509" s="5">
        <f t="shared" si="28"/>
        <v>10.1260287972749</v>
      </c>
      <c r="N509" s="5">
        <f t="shared" si="29"/>
        <v>-2.19076380467482</v>
      </c>
      <c r="O509">
        <v>1.52</v>
      </c>
      <c r="P509">
        <v>1505.676</v>
      </c>
      <c r="Q509" s="5">
        <f t="shared" si="17"/>
        <v>1503.95223619532</v>
      </c>
      <c r="T509" s="26"/>
      <c r="U509" s="26">
        <v>209.4941667</v>
      </c>
      <c r="V509" s="26"/>
      <c r="W509" s="26">
        <f t="shared" ref="W509:W540" si="42">$S$444+(H509*SIN(U509*3.141592654/180))</f>
        <v>355648.337263647</v>
      </c>
      <c r="X509" s="26">
        <f t="shared" ref="X509:X540" si="43">$S$444+(I509*SIN(V509*3.141592654/180))</f>
        <v>355760.607</v>
      </c>
      <c r="Y509" s="26"/>
    </row>
    <row r="510" ht="14.25" customHeight="1" spans="1:25">
      <c r="A510" s="10" t="s">
        <v>536</v>
      </c>
      <c r="B510">
        <v>1.064</v>
      </c>
      <c r="C510">
        <v>1.032</v>
      </c>
      <c r="D510">
        <v>1</v>
      </c>
      <c r="E510">
        <v>117</v>
      </c>
      <c r="F510">
        <v>46</v>
      </c>
      <c r="G510">
        <v>53</v>
      </c>
      <c r="H510" s="5">
        <f t="shared" si="0"/>
        <v>117.781388888889</v>
      </c>
      <c r="I510">
        <v>107</v>
      </c>
      <c r="J510">
        <v>57</v>
      </c>
      <c r="K510">
        <v>20</v>
      </c>
      <c r="L510" s="5">
        <f t="shared" si="1"/>
        <v>107.955555555556</v>
      </c>
      <c r="M510" s="5">
        <f t="shared" si="28"/>
        <v>5.79176932057136</v>
      </c>
      <c r="N510" s="5">
        <f t="shared" si="29"/>
        <v>-1.8768941869336</v>
      </c>
      <c r="O510">
        <v>1.52</v>
      </c>
      <c r="P510">
        <v>1505.676</v>
      </c>
      <c r="Q510" s="5">
        <f t="shared" si="17"/>
        <v>1504.28710581307</v>
      </c>
      <c r="T510" s="26"/>
      <c r="U510" s="26">
        <v>210.4941667</v>
      </c>
      <c r="V510" s="26"/>
      <c r="W510" s="26">
        <f t="shared" si="42"/>
        <v>355700.838759061</v>
      </c>
      <c r="X510" s="26">
        <f t="shared" si="43"/>
        <v>355760.607</v>
      </c>
      <c r="Y510" s="26"/>
    </row>
    <row r="511" ht="14.25" customHeight="1" spans="1:25">
      <c r="A511" s="10" t="s">
        <v>537</v>
      </c>
      <c r="B511">
        <v>1.054</v>
      </c>
      <c r="C511">
        <v>1.027</v>
      </c>
      <c r="D511">
        <v>1</v>
      </c>
      <c r="E511">
        <v>109</v>
      </c>
      <c r="F511">
        <v>15</v>
      </c>
      <c r="G511">
        <v>35</v>
      </c>
      <c r="H511" s="5">
        <f t="shared" si="0"/>
        <v>109.259722222222</v>
      </c>
      <c r="I511">
        <v>101</v>
      </c>
      <c r="J511">
        <v>35</v>
      </c>
      <c r="K511">
        <v>38</v>
      </c>
      <c r="L511" s="5">
        <f t="shared" si="1"/>
        <v>101.593888888889</v>
      </c>
      <c r="M511" s="5">
        <f t="shared" si="28"/>
        <v>5.18189225377552</v>
      </c>
      <c r="N511" s="5">
        <f t="shared" si="29"/>
        <v>-1.0631137477472</v>
      </c>
      <c r="O511">
        <v>1.52</v>
      </c>
      <c r="P511">
        <v>1505.676</v>
      </c>
      <c r="Q511" s="5">
        <f t="shared" si="17"/>
        <v>1505.10588625225</v>
      </c>
      <c r="T511" s="26"/>
      <c r="U511" s="26">
        <v>211.4941667</v>
      </c>
      <c r="V511" s="26"/>
      <c r="W511" s="26">
        <f t="shared" si="42"/>
        <v>355703.528436777</v>
      </c>
      <c r="X511" s="26">
        <f t="shared" si="43"/>
        <v>355760.607</v>
      </c>
      <c r="Y511" s="26"/>
    </row>
    <row r="512" ht="14.25" customHeight="1" spans="1:25">
      <c r="A512" s="10" t="s">
        <v>538</v>
      </c>
      <c r="B512">
        <v>1.1</v>
      </c>
      <c r="C512">
        <v>1.05</v>
      </c>
      <c r="D512">
        <v>1</v>
      </c>
      <c r="E512">
        <v>230</v>
      </c>
      <c r="F512">
        <v>50</v>
      </c>
      <c r="G512">
        <v>3</v>
      </c>
      <c r="H512" s="5">
        <f t="shared" si="0"/>
        <v>230.834166666667</v>
      </c>
      <c r="I512">
        <v>99</v>
      </c>
      <c r="J512">
        <v>11</v>
      </c>
      <c r="K512">
        <v>32</v>
      </c>
      <c r="L512" s="5">
        <f t="shared" si="1"/>
        <v>99.1922222222222</v>
      </c>
      <c r="M512" s="5">
        <f t="shared" si="28"/>
        <v>9.74480837008367</v>
      </c>
      <c r="N512" s="5">
        <f t="shared" si="29"/>
        <v>-1.57695704798326</v>
      </c>
      <c r="O512">
        <v>1.52</v>
      </c>
      <c r="P512">
        <v>1505.676</v>
      </c>
      <c r="Q512" s="5">
        <f t="shared" si="17"/>
        <v>1504.56904295202</v>
      </c>
      <c r="T512" s="26"/>
      <c r="U512" s="26">
        <v>212.4941667</v>
      </c>
      <c r="V512" s="26"/>
      <c r="W512" s="26">
        <f t="shared" si="42"/>
        <v>355636.599713996</v>
      </c>
      <c r="X512" s="26">
        <f t="shared" si="43"/>
        <v>355760.607</v>
      </c>
      <c r="Y512" s="26"/>
    </row>
    <row r="513" ht="14.25" customHeight="1" spans="1:25">
      <c r="A513" s="10" t="s">
        <v>539</v>
      </c>
      <c r="B513">
        <v>1.168</v>
      </c>
      <c r="C513">
        <v>1.084</v>
      </c>
      <c r="D513">
        <v>1</v>
      </c>
      <c r="E513">
        <v>242</v>
      </c>
      <c r="F513">
        <v>12</v>
      </c>
      <c r="G513">
        <v>6</v>
      </c>
      <c r="H513" s="5">
        <f t="shared" si="0"/>
        <v>242.201666666667</v>
      </c>
      <c r="I513">
        <v>93</v>
      </c>
      <c r="J513">
        <v>6</v>
      </c>
      <c r="K513">
        <v>4</v>
      </c>
      <c r="L513" s="5">
        <f t="shared" si="1"/>
        <v>93.1011111111111</v>
      </c>
      <c r="M513" s="5">
        <f t="shared" si="28"/>
        <v>16.7508329054586</v>
      </c>
      <c r="N513" s="5">
        <f t="shared" si="29"/>
        <v>-0.907518476456391</v>
      </c>
      <c r="O513">
        <v>1.52</v>
      </c>
      <c r="P513">
        <v>1505.676</v>
      </c>
      <c r="Q513" s="5">
        <f t="shared" si="17"/>
        <v>1505.20448152354</v>
      </c>
      <c r="T513" s="26"/>
      <c r="U513" s="26">
        <v>213.4941667</v>
      </c>
      <c r="V513" s="26"/>
      <c r="W513" s="26">
        <f t="shared" si="42"/>
        <v>355626.947505332</v>
      </c>
      <c r="X513" s="26">
        <f t="shared" si="43"/>
        <v>355760.607</v>
      </c>
      <c r="Y513" s="26"/>
    </row>
    <row r="514" ht="14.25" customHeight="1" spans="1:25">
      <c r="A514" s="10" t="s">
        <v>540</v>
      </c>
      <c r="B514">
        <v>1.164</v>
      </c>
      <c r="C514">
        <v>1.082</v>
      </c>
      <c r="D514">
        <v>1</v>
      </c>
      <c r="E514">
        <v>246</v>
      </c>
      <c r="F514">
        <v>47</v>
      </c>
      <c r="G514">
        <v>58</v>
      </c>
      <c r="H514" s="5">
        <f t="shared" si="0"/>
        <v>246.799444444444</v>
      </c>
      <c r="I514">
        <v>90</v>
      </c>
      <c r="J514">
        <v>38</v>
      </c>
      <c r="K514">
        <v>15</v>
      </c>
      <c r="L514" s="5">
        <f t="shared" si="1"/>
        <v>90.6375</v>
      </c>
      <c r="M514" s="5">
        <f t="shared" si="28"/>
        <v>16.3979697896395</v>
      </c>
      <c r="N514" s="5">
        <f t="shared" si="29"/>
        <v>-0.182459113658923</v>
      </c>
      <c r="O514">
        <v>1.52</v>
      </c>
      <c r="P514">
        <v>1505.676</v>
      </c>
      <c r="Q514" s="5">
        <f t="shared" si="17"/>
        <v>1505.93154088634</v>
      </c>
      <c r="T514" s="26"/>
      <c r="U514" s="26">
        <v>214.4941667</v>
      </c>
      <c r="V514" s="26"/>
      <c r="W514" s="26">
        <f t="shared" si="42"/>
        <v>355620.838963613</v>
      </c>
      <c r="X514" s="26">
        <f t="shared" si="43"/>
        <v>355760.607</v>
      </c>
      <c r="Y514" s="26"/>
    </row>
    <row r="515" ht="14.25" customHeight="1" spans="1:25">
      <c r="A515" s="10" t="s">
        <v>541</v>
      </c>
      <c r="B515">
        <v>1.094</v>
      </c>
      <c r="C515">
        <v>1.047</v>
      </c>
      <c r="D515">
        <v>1</v>
      </c>
      <c r="E515">
        <v>238</v>
      </c>
      <c r="F515">
        <v>1</v>
      </c>
      <c r="G515">
        <v>32</v>
      </c>
      <c r="H515" s="5">
        <f t="shared" si="0"/>
        <v>238.025555555556</v>
      </c>
      <c r="I515">
        <v>94</v>
      </c>
      <c r="J515">
        <v>5</v>
      </c>
      <c r="K515">
        <v>4</v>
      </c>
      <c r="L515" s="5">
        <f t="shared" si="1"/>
        <v>94.0844444444444</v>
      </c>
      <c r="M515" s="5">
        <f t="shared" si="28"/>
        <v>9.35231159694444</v>
      </c>
      <c r="N515" s="5">
        <f t="shared" si="29"/>
        <v>-0.667829922163082</v>
      </c>
      <c r="O515">
        <v>1.52</v>
      </c>
      <c r="P515">
        <v>1505.676</v>
      </c>
      <c r="Q515" s="5">
        <f t="shared" si="17"/>
        <v>1505.48117007784</v>
      </c>
      <c r="T515" s="26"/>
      <c r="U515" s="26">
        <v>215.4941667</v>
      </c>
      <c r="V515" s="26"/>
      <c r="W515" s="26">
        <f t="shared" si="42"/>
        <v>355622.404585804</v>
      </c>
      <c r="X515" s="26">
        <f t="shared" si="43"/>
        <v>355760.607</v>
      </c>
      <c r="Y515" s="26"/>
    </row>
    <row r="516" ht="14.25" customHeight="1" spans="1:25">
      <c r="A516" s="10" t="s">
        <v>542</v>
      </c>
      <c r="B516">
        <v>1.056</v>
      </c>
      <c r="C516">
        <v>1.028</v>
      </c>
      <c r="D516">
        <v>1</v>
      </c>
      <c r="E516">
        <v>94</v>
      </c>
      <c r="F516">
        <v>48</v>
      </c>
      <c r="G516">
        <v>41</v>
      </c>
      <c r="H516" s="5">
        <f t="shared" si="0"/>
        <v>94.8113888888889</v>
      </c>
      <c r="I516">
        <v>97</v>
      </c>
      <c r="J516">
        <v>20</v>
      </c>
      <c r="K516">
        <v>23</v>
      </c>
      <c r="L516" s="5">
        <f t="shared" si="1"/>
        <v>97.3397222222222</v>
      </c>
      <c r="M516" s="5">
        <f t="shared" si="28"/>
        <v>5.50860444194052</v>
      </c>
      <c r="N516" s="5">
        <f t="shared" si="29"/>
        <v>-0.709550545838796</v>
      </c>
      <c r="O516">
        <v>1.52</v>
      </c>
      <c r="P516">
        <v>1505.676</v>
      </c>
      <c r="Q516" s="5">
        <f t="shared" si="17"/>
        <v>1505.45844945416</v>
      </c>
      <c r="T516" s="26"/>
      <c r="U516" s="26">
        <v>216.4941667</v>
      </c>
      <c r="V516" s="26"/>
      <c r="W516" s="26">
        <f t="shared" si="42"/>
        <v>355704.21878515</v>
      </c>
      <c r="X516" s="26">
        <f t="shared" si="43"/>
        <v>355760.607</v>
      </c>
      <c r="Y516" s="26"/>
    </row>
    <row r="517" ht="14.25" customHeight="1" spans="1:25">
      <c r="A517" s="10" t="s">
        <v>543</v>
      </c>
      <c r="B517">
        <v>1.062</v>
      </c>
      <c r="C517">
        <v>1.031</v>
      </c>
      <c r="D517">
        <v>1</v>
      </c>
      <c r="E517">
        <v>14</v>
      </c>
      <c r="F517">
        <v>56</v>
      </c>
      <c r="G517">
        <v>9</v>
      </c>
      <c r="H517" s="5">
        <f t="shared" si="0"/>
        <v>14.9358333333333</v>
      </c>
      <c r="I517">
        <v>92</v>
      </c>
      <c r="J517">
        <v>21</v>
      </c>
      <c r="K517">
        <v>25</v>
      </c>
      <c r="L517" s="5">
        <f t="shared" si="1"/>
        <v>92.3569444444444</v>
      </c>
      <c r="M517" s="5">
        <f t="shared" si="28"/>
        <v>6.18951423475263</v>
      </c>
      <c r="N517" s="5">
        <f t="shared" si="29"/>
        <v>-0.254758303615223</v>
      </c>
      <c r="O517">
        <v>1.52</v>
      </c>
      <c r="P517">
        <v>1505.676</v>
      </c>
      <c r="Q517" s="5">
        <f t="shared" si="17"/>
        <v>1505.91024169638</v>
      </c>
      <c r="T517" s="26"/>
      <c r="U517" s="26">
        <v>217.4941667</v>
      </c>
      <c r="V517" s="26"/>
      <c r="W517" s="26">
        <f t="shared" si="42"/>
        <v>355751.515847188</v>
      </c>
      <c r="X517" s="26">
        <f t="shared" si="43"/>
        <v>355760.607</v>
      </c>
      <c r="Y517" s="26"/>
    </row>
    <row r="518" ht="14.25" customHeight="1" spans="1:25">
      <c r="A518" s="10" t="s">
        <v>544</v>
      </c>
      <c r="B518">
        <v>1.092</v>
      </c>
      <c r="C518">
        <v>1.046</v>
      </c>
      <c r="D518">
        <v>1</v>
      </c>
      <c r="E518">
        <v>278</v>
      </c>
      <c r="F518">
        <v>6</v>
      </c>
      <c r="G518">
        <v>48</v>
      </c>
      <c r="H518" s="5">
        <f t="shared" si="0"/>
        <v>278.113333333333</v>
      </c>
      <c r="I518">
        <v>91</v>
      </c>
      <c r="J518">
        <v>32</v>
      </c>
      <c r="K518">
        <v>23</v>
      </c>
      <c r="L518" s="5">
        <f t="shared" si="1"/>
        <v>91.5397222222222</v>
      </c>
      <c r="M518" s="5">
        <f t="shared" si="28"/>
        <v>9.19335763447539</v>
      </c>
      <c r="N518" s="5">
        <f t="shared" si="29"/>
        <v>-0.247114632927079</v>
      </c>
      <c r="O518">
        <v>1.52</v>
      </c>
      <c r="P518">
        <v>1505.676</v>
      </c>
      <c r="Q518" s="5">
        <f t="shared" si="17"/>
        <v>1505.90288536707</v>
      </c>
      <c r="T518" s="26"/>
      <c r="U518" s="26">
        <v>218.4941667</v>
      </c>
      <c r="V518" s="26"/>
      <c r="W518" s="26">
        <f t="shared" si="42"/>
        <v>355587.499539538</v>
      </c>
      <c r="X518" s="26">
        <f t="shared" si="43"/>
        <v>355760.607</v>
      </c>
      <c r="Y518" s="26"/>
    </row>
    <row r="519" ht="14.25" customHeight="1" spans="1:25">
      <c r="A519" s="10" t="s">
        <v>545</v>
      </c>
      <c r="B519">
        <v>1.188</v>
      </c>
      <c r="C519">
        <v>1.094</v>
      </c>
      <c r="D519">
        <v>1</v>
      </c>
      <c r="E519">
        <v>267</v>
      </c>
      <c r="F519">
        <v>21</v>
      </c>
      <c r="G519">
        <v>51</v>
      </c>
      <c r="H519" s="5">
        <f t="shared" si="0"/>
        <v>267.364166666667</v>
      </c>
      <c r="I519">
        <v>89</v>
      </c>
      <c r="J519">
        <v>51</v>
      </c>
      <c r="K519">
        <v>22</v>
      </c>
      <c r="L519" s="5">
        <f t="shared" si="1"/>
        <v>89.8561111111111</v>
      </c>
      <c r="M519" s="5">
        <f t="shared" si="28"/>
        <v>18.7998814323562</v>
      </c>
      <c r="N519" s="5">
        <f t="shared" si="29"/>
        <v>0.0472128970123035</v>
      </c>
      <c r="O519">
        <v>1.52</v>
      </c>
      <c r="P519">
        <v>1505.676</v>
      </c>
      <c r="Q519" s="5">
        <f t="shared" si="17"/>
        <v>1506.14921289701</v>
      </c>
      <c r="T519" s="26"/>
      <c r="U519" s="26">
        <v>219.4941667</v>
      </c>
      <c r="V519" s="26"/>
      <c r="W519" s="26">
        <f t="shared" si="42"/>
        <v>355590.563481427</v>
      </c>
      <c r="X519" s="26">
        <f t="shared" si="43"/>
        <v>355760.607</v>
      </c>
      <c r="Y519" s="26"/>
    </row>
    <row r="520" ht="14.25" customHeight="1" spans="1:25">
      <c r="A520" s="10" t="s">
        <v>546</v>
      </c>
      <c r="B520">
        <v>1.194</v>
      </c>
      <c r="C520">
        <v>1.097</v>
      </c>
      <c r="D520">
        <v>1</v>
      </c>
      <c r="E520">
        <v>283</v>
      </c>
      <c r="F520">
        <v>19</v>
      </c>
      <c r="G520">
        <v>36</v>
      </c>
      <c r="H520" s="5">
        <f t="shared" si="0"/>
        <v>283.326666666667</v>
      </c>
      <c r="I520">
        <v>88</v>
      </c>
      <c r="J520">
        <v>48</v>
      </c>
      <c r="K520">
        <v>9</v>
      </c>
      <c r="L520" s="5">
        <f t="shared" si="1"/>
        <v>88.8025</v>
      </c>
      <c r="M520" s="5">
        <f t="shared" si="28"/>
        <v>19.3915268621561</v>
      </c>
      <c r="N520" s="5">
        <f t="shared" si="29"/>
        <v>0.405348097451312</v>
      </c>
      <c r="O520">
        <v>1.52</v>
      </c>
      <c r="P520">
        <v>1505.676</v>
      </c>
      <c r="Q520" s="5">
        <f t="shared" si="17"/>
        <v>1506.50434809745</v>
      </c>
      <c r="T520" s="26"/>
      <c r="U520" s="26">
        <v>220.4941667</v>
      </c>
      <c r="V520" s="26"/>
      <c r="W520" s="26">
        <f t="shared" si="42"/>
        <v>355576.622984483</v>
      </c>
      <c r="X520" s="26">
        <f t="shared" si="43"/>
        <v>355760.607</v>
      </c>
      <c r="Y520" s="26"/>
    </row>
    <row r="521" ht="14.25" customHeight="1" spans="1:25">
      <c r="A521" s="10" t="s">
        <v>547</v>
      </c>
      <c r="B521">
        <v>1.118</v>
      </c>
      <c r="C521">
        <v>1.059</v>
      </c>
      <c r="D521">
        <v>1</v>
      </c>
      <c r="E521">
        <v>302</v>
      </c>
      <c r="F521">
        <v>11</v>
      </c>
      <c r="G521">
        <v>39</v>
      </c>
      <c r="H521" s="5">
        <f t="shared" si="0"/>
        <v>302.194166666667</v>
      </c>
      <c r="I521">
        <v>88</v>
      </c>
      <c r="J521">
        <v>48</v>
      </c>
      <c r="K521">
        <v>17</v>
      </c>
      <c r="L521" s="5">
        <f t="shared" si="1"/>
        <v>88.8047222222222</v>
      </c>
      <c r="M521" s="5">
        <f t="shared" si="28"/>
        <v>11.7948653430896</v>
      </c>
      <c r="N521" s="5">
        <f t="shared" si="29"/>
        <v>0.246094670485358</v>
      </c>
      <c r="O521">
        <v>1.52</v>
      </c>
      <c r="P521">
        <v>1505.676</v>
      </c>
      <c r="Q521" s="5">
        <f t="shared" si="17"/>
        <v>1506.38309467049</v>
      </c>
      <c r="T521" s="26"/>
      <c r="U521" s="26">
        <v>221.4941667</v>
      </c>
      <c r="V521" s="26"/>
      <c r="W521" s="26">
        <f t="shared" si="42"/>
        <v>355560.390130365</v>
      </c>
      <c r="X521" s="26">
        <f t="shared" si="43"/>
        <v>355760.607</v>
      </c>
      <c r="Y521" s="26"/>
    </row>
    <row r="522" ht="14.25" customHeight="1" spans="1:25">
      <c r="A522" s="10" t="s">
        <v>548</v>
      </c>
      <c r="B522">
        <v>1.098</v>
      </c>
      <c r="C522">
        <v>1.048</v>
      </c>
      <c r="D522">
        <v>1</v>
      </c>
      <c r="E522">
        <v>354</v>
      </c>
      <c r="F522">
        <v>22</v>
      </c>
      <c r="G522">
        <v>44</v>
      </c>
      <c r="H522" s="5">
        <f t="shared" si="0"/>
        <v>354.378888888889</v>
      </c>
      <c r="I522">
        <v>88</v>
      </c>
      <c r="J522">
        <v>37</v>
      </c>
      <c r="K522">
        <v>13</v>
      </c>
      <c r="L522" s="5">
        <f t="shared" si="1"/>
        <v>88.6202777777778</v>
      </c>
      <c r="M522" s="5">
        <f t="shared" si="28"/>
        <v>9.79431827536899</v>
      </c>
      <c r="N522" s="5">
        <f t="shared" si="29"/>
        <v>0.235899595992026</v>
      </c>
      <c r="O522">
        <v>1.52</v>
      </c>
      <c r="P522">
        <v>1505.676</v>
      </c>
      <c r="Q522" s="5">
        <f t="shared" si="17"/>
        <v>1506.38389959599</v>
      </c>
      <c r="T522" s="26"/>
      <c r="U522" s="26">
        <v>222.4941667</v>
      </c>
      <c r="V522" s="26"/>
      <c r="W522" s="26">
        <f t="shared" si="42"/>
        <v>355521.218694526</v>
      </c>
      <c r="X522" s="26">
        <f t="shared" si="43"/>
        <v>355760.607</v>
      </c>
      <c r="Y522" s="26"/>
    </row>
    <row r="523" ht="14.25" customHeight="1" spans="1:25">
      <c r="A523" s="10" t="s">
        <v>549</v>
      </c>
      <c r="B523">
        <v>1.11</v>
      </c>
      <c r="C523">
        <v>1.055</v>
      </c>
      <c r="D523">
        <v>1</v>
      </c>
      <c r="E523">
        <v>353</v>
      </c>
      <c r="F523">
        <v>14</v>
      </c>
      <c r="G523">
        <v>5</v>
      </c>
      <c r="H523" s="5">
        <f t="shared" si="0"/>
        <v>353.234722222222</v>
      </c>
      <c r="I523">
        <v>85</v>
      </c>
      <c r="J523">
        <v>15</v>
      </c>
      <c r="K523">
        <v>1</v>
      </c>
      <c r="L523" s="5">
        <f t="shared" si="1"/>
        <v>85.2502777777778</v>
      </c>
      <c r="M523" s="5">
        <f t="shared" si="28"/>
        <v>10.9245796101069</v>
      </c>
      <c r="N523" s="5">
        <f t="shared" si="29"/>
        <v>0.907709234068214</v>
      </c>
      <c r="O523">
        <v>1.52</v>
      </c>
      <c r="P523">
        <v>1505.676</v>
      </c>
      <c r="Q523" s="5">
        <f t="shared" si="17"/>
        <v>1507.04870923407</v>
      </c>
      <c r="T523" s="26"/>
      <c r="U523" s="26">
        <v>223.4941667</v>
      </c>
      <c r="V523" s="26"/>
      <c r="W523" s="26">
        <f t="shared" si="42"/>
        <v>355517.482350382</v>
      </c>
      <c r="X523" s="26">
        <f t="shared" si="43"/>
        <v>355760.607</v>
      </c>
      <c r="Y523" s="26"/>
    </row>
    <row r="524" ht="14.25" customHeight="1" spans="1:25">
      <c r="A524" s="10" t="s">
        <v>550</v>
      </c>
      <c r="B524">
        <v>1.124</v>
      </c>
      <c r="C524">
        <v>1.062</v>
      </c>
      <c r="D524">
        <v>1</v>
      </c>
      <c r="E524">
        <v>310</v>
      </c>
      <c r="F524">
        <v>13</v>
      </c>
      <c r="G524">
        <v>57</v>
      </c>
      <c r="H524" s="5">
        <f t="shared" si="0"/>
        <v>310.2325</v>
      </c>
      <c r="I524">
        <v>85</v>
      </c>
      <c r="J524">
        <v>29</v>
      </c>
      <c r="K524">
        <v>46</v>
      </c>
      <c r="L524" s="5">
        <f t="shared" si="1"/>
        <v>85.4961111111111</v>
      </c>
      <c r="M524" s="5">
        <f t="shared" si="28"/>
        <v>12.3235359943049</v>
      </c>
      <c r="N524" s="5">
        <f t="shared" si="29"/>
        <v>0.970724948918391</v>
      </c>
      <c r="O524">
        <v>1.52</v>
      </c>
      <c r="P524">
        <v>1505.676</v>
      </c>
      <c r="Q524" s="5">
        <f t="shared" si="17"/>
        <v>1507.10472494892</v>
      </c>
      <c r="T524" s="26"/>
      <c r="U524" s="26">
        <v>224.4941667</v>
      </c>
      <c r="V524" s="26"/>
      <c r="W524" s="26">
        <f t="shared" si="42"/>
        <v>355543.184695593</v>
      </c>
      <c r="X524" s="26">
        <f t="shared" si="43"/>
        <v>355760.607</v>
      </c>
      <c r="Y524" s="26"/>
    </row>
    <row r="525" ht="14.25" customHeight="1" spans="1:25">
      <c r="A525" s="10" t="s">
        <v>551</v>
      </c>
      <c r="B525">
        <v>1.195</v>
      </c>
      <c r="C525">
        <v>1.098</v>
      </c>
      <c r="D525">
        <v>1</v>
      </c>
      <c r="E525">
        <v>286</v>
      </c>
      <c r="F525">
        <v>42</v>
      </c>
      <c r="G525">
        <v>53</v>
      </c>
      <c r="H525" s="5">
        <f t="shared" si="0"/>
        <v>286.714722222222</v>
      </c>
      <c r="I525">
        <v>86</v>
      </c>
      <c r="J525">
        <v>26</v>
      </c>
      <c r="K525">
        <v>24</v>
      </c>
      <c r="L525" s="5">
        <f t="shared" si="1"/>
        <v>86.44</v>
      </c>
      <c r="M525" s="5">
        <f t="shared" si="28"/>
        <v>19.4248151406607</v>
      </c>
      <c r="N525" s="5">
        <f t="shared" si="29"/>
        <v>1.20849161935127</v>
      </c>
      <c r="O525">
        <v>1.52</v>
      </c>
      <c r="P525">
        <v>1505.676</v>
      </c>
      <c r="Q525" s="5">
        <f t="shared" si="17"/>
        <v>1507.30649161935</v>
      </c>
      <c r="T525" s="26"/>
      <c r="U525" s="26">
        <v>225.4941667</v>
      </c>
      <c r="V525" s="26"/>
      <c r="W525" s="26">
        <f t="shared" si="42"/>
        <v>355556.128056451</v>
      </c>
      <c r="X525" s="26">
        <f t="shared" si="43"/>
        <v>355760.607</v>
      </c>
      <c r="Y525" s="26"/>
    </row>
    <row r="526" ht="14.25" customHeight="1" spans="1:25">
      <c r="A526" s="10" t="s">
        <v>552</v>
      </c>
      <c r="B526">
        <v>1.2</v>
      </c>
      <c r="C526">
        <v>1.1</v>
      </c>
      <c r="D526">
        <v>1</v>
      </c>
      <c r="E526">
        <v>289</v>
      </c>
      <c r="F526">
        <v>58</v>
      </c>
      <c r="G526">
        <v>43</v>
      </c>
      <c r="H526" s="5">
        <f t="shared" si="0"/>
        <v>289.978611111111</v>
      </c>
      <c r="I526">
        <v>86</v>
      </c>
      <c r="J526">
        <v>21</v>
      </c>
      <c r="K526">
        <v>56</v>
      </c>
      <c r="L526" s="5">
        <f t="shared" si="1"/>
        <v>86.3655555555555</v>
      </c>
      <c r="M526" s="5">
        <f t="shared" si="28"/>
        <v>19.9196329134168</v>
      </c>
      <c r="N526" s="5">
        <f t="shared" si="29"/>
        <v>1.26525999820478</v>
      </c>
      <c r="O526">
        <v>1.52</v>
      </c>
      <c r="P526">
        <v>1505.676</v>
      </c>
      <c r="Q526" s="5">
        <f t="shared" si="17"/>
        <v>1507.3612599982</v>
      </c>
      <c r="T526" s="26"/>
      <c r="U526" s="26">
        <v>226.4941667</v>
      </c>
      <c r="V526" s="26"/>
      <c r="W526" s="26">
        <f t="shared" si="42"/>
        <v>355550.284270505</v>
      </c>
      <c r="X526" s="26">
        <f t="shared" si="43"/>
        <v>355760.607</v>
      </c>
      <c r="Y526" s="26"/>
    </row>
    <row r="527" ht="14.25" customHeight="1" spans="1:25">
      <c r="A527" s="10" t="s">
        <v>553</v>
      </c>
      <c r="B527">
        <v>1.136</v>
      </c>
      <c r="C527">
        <v>1.066</v>
      </c>
      <c r="D527">
        <v>1</v>
      </c>
      <c r="E527">
        <v>312</v>
      </c>
      <c r="F527">
        <v>8</v>
      </c>
      <c r="G527">
        <v>9</v>
      </c>
      <c r="H527" s="5">
        <f t="shared" si="0"/>
        <v>312.135833333333</v>
      </c>
      <c r="I527">
        <v>82</v>
      </c>
      <c r="J527">
        <v>39</v>
      </c>
      <c r="K527">
        <v>9</v>
      </c>
      <c r="L527" s="5">
        <f t="shared" si="1"/>
        <v>82.6525</v>
      </c>
      <c r="M527" s="5">
        <f t="shared" si="28"/>
        <v>13.3775712768264</v>
      </c>
      <c r="N527" s="5">
        <f t="shared" si="29"/>
        <v>1.72498002836782</v>
      </c>
      <c r="O527">
        <v>1.52</v>
      </c>
      <c r="P527">
        <v>1505.676</v>
      </c>
      <c r="Q527" s="5">
        <f t="shared" si="17"/>
        <v>1507.85498002837</v>
      </c>
      <c r="T527" s="26"/>
      <c r="U527" s="26">
        <v>227.4941667</v>
      </c>
      <c r="V527" s="26"/>
      <c r="W527" s="26">
        <f t="shared" si="42"/>
        <v>355530.497794498</v>
      </c>
      <c r="X527" s="26">
        <f t="shared" si="43"/>
        <v>355760.607</v>
      </c>
      <c r="Y527" s="26"/>
    </row>
    <row r="528" ht="14.25" customHeight="1" spans="1:25">
      <c r="A528" s="10" t="s">
        <v>554</v>
      </c>
      <c r="B528">
        <v>1.122</v>
      </c>
      <c r="C528">
        <v>1.061</v>
      </c>
      <c r="D528">
        <v>1</v>
      </c>
      <c r="E528">
        <v>347</v>
      </c>
      <c r="F528">
        <v>42</v>
      </c>
      <c r="G528">
        <v>52</v>
      </c>
      <c r="H528" s="5">
        <f t="shared" si="0"/>
        <v>347.714444444444</v>
      </c>
      <c r="I528">
        <v>82</v>
      </c>
      <c r="J528">
        <v>58</v>
      </c>
      <c r="K528">
        <v>50</v>
      </c>
      <c r="L528" s="5">
        <f t="shared" si="1"/>
        <v>82.9805555555556</v>
      </c>
      <c r="M528" s="5">
        <f t="shared" si="28"/>
        <v>12.0178009356409</v>
      </c>
      <c r="N528" s="5">
        <f t="shared" si="29"/>
        <v>1.47974054689601</v>
      </c>
      <c r="O528">
        <v>1.52</v>
      </c>
      <c r="P528">
        <v>1505.676</v>
      </c>
      <c r="Q528" s="5">
        <f t="shared" si="17"/>
        <v>1507.6147405469</v>
      </c>
      <c r="T528" s="26"/>
      <c r="U528" s="26">
        <v>228.4941667</v>
      </c>
      <c r="V528" s="26"/>
      <c r="W528" s="26">
        <f t="shared" si="42"/>
        <v>355500.207736214</v>
      </c>
      <c r="X528" s="26">
        <f t="shared" si="43"/>
        <v>355760.607</v>
      </c>
      <c r="Y528" s="26"/>
    </row>
    <row r="529" ht="14.25" customHeight="1" spans="1:25">
      <c r="A529" s="10" t="s">
        <v>555</v>
      </c>
      <c r="B529">
        <v>1.142</v>
      </c>
      <c r="C529">
        <v>1.071</v>
      </c>
      <c r="D529">
        <v>1</v>
      </c>
      <c r="E529">
        <v>346</v>
      </c>
      <c r="F529">
        <v>31</v>
      </c>
      <c r="G529">
        <v>47</v>
      </c>
      <c r="H529" s="5">
        <f t="shared" si="0"/>
        <v>346.529722222222</v>
      </c>
      <c r="I529">
        <v>80</v>
      </c>
      <c r="J529">
        <v>39</v>
      </c>
      <c r="K529">
        <v>23</v>
      </c>
      <c r="L529" s="5">
        <f t="shared" si="1"/>
        <v>80.6563888888889</v>
      </c>
      <c r="M529" s="5">
        <f t="shared" si="28"/>
        <v>13.8257004638372</v>
      </c>
      <c r="N529" s="5">
        <f t="shared" si="29"/>
        <v>2.27485236240509</v>
      </c>
      <c r="O529">
        <v>1.52</v>
      </c>
      <c r="P529">
        <v>1505.676</v>
      </c>
      <c r="Q529" s="5">
        <f t="shared" si="17"/>
        <v>1508.3998523624</v>
      </c>
      <c r="T529" s="26"/>
      <c r="U529" s="26">
        <v>229.4941667</v>
      </c>
      <c r="V529" s="26"/>
      <c r="W529" s="26">
        <f t="shared" si="42"/>
        <v>355497.126645929</v>
      </c>
      <c r="X529" s="26">
        <f t="shared" si="43"/>
        <v>355760.607</v>
      </c>
      <c r="Y529" s="26"/>
    </row>
    <row r="530" ht="14.25" customHeight="1" spans="1:25">
      <c r="A530" s="10" t="s">
        <v>556</v>
      </c>
      <c r="B530">
        <v>1.148</v>
      </c>
      <c r="C530">
        <v>1.074</v>
      </c>
      <c r="D530">
        <v>1</v>
      </c>
      <c r="E530">
        <v>311</v>
      </c>
      <c r="F530">
        <v>6</v>
      </c>
      <c r="G530">
        <v>0</v>
      </c>
      <c r="H530" s="5">
        <f t="shared" si="0"/>
        <v>311.1</v>
      </c>
      <c r="I530">
        <v>81</v>
      </c>
      <c r="J530">
        <v>2</v>
      </c>
      <c r="K530">
        <v>42</v>
      </c>
      <c r="L530" s="5">
        <f t="shared" si="1"/>
        <v>81.045</v>
      </c>
      <c r="M530" s="5">
        <f t="shared" si="28"/>
        <v>14.4414015169702</v>
      </c>
      <c r="N530" s="5">
        <f t="shared" si="29"/>
        <v>2.275667962777</v>
      </c>
      <c r="O530">
        <v>1.52</v>
      </c>
      <c r="P530">
        <v>1505.676</v>
      </c>
      <c r="Q530" s="5">
        <f t="shared" si="17"/>
        <v>1508.39766796278</v>
      </c>
      <c r="T530" s="26"/>
      <c r="U530" s="26">
        <v>230.4941667</v>
      </c>
      <c r="V530" s="26"/>
      <c r="W530" s="26">
        <f t="shared" si="42"/>
        <v>355520.574739869</v>
      </c>
      <c r="X530" s="26">
        <f t="shared" si="43"/>
        <v>355760.607</v>
      </c>
      <c r="Y530" s="26"/>
    </row>
    <row r="531" ht="14.25" customHeight="1" spans="1:25">
      <c r="A531" s="10" t="s">
        <v>557</v>
      </c>
      <c r="B531">
        <v>1.202</v>
      </c>
      <c r="C531">
        <v>1.101</v>
      </c>
      <c r="D531">
        <v>1</v>
      </c>
      <c r="E531">
        <v>294</v>
      </c>
      <c r="F531">
        <v>2</v>
      </c>
      <c r="G531">
        <v>13</v>
      </c>
      <c r="H531" s="5">
        <f t="shared" si="0"/>
        <v>294.036944444444</v>
      </c>
      <c r="I531">
        <v>82</v>
      </c>
      <c r="J531">
        <v>36</v>
      </c>
      <c r="K531">
        <v>48</v>
      </c>
      <c r="L531" s="5">
        <f t="shared" si="1"/>
        <v>82.6133333333333</v>
      </c>
      <c r="M531" s="5">
        <f t="shared" si="28"/>
        <v>19.8661159547675</v>
      </c>
      <c r="N531" s="5">
        <f t="shared" si="29"/>
        <v>2.57545707749813</v>
      </c>
      <c r="O531">
        <v>1.52</v>
      </c>
      <c r="P531">
        <v>1505.676</v>
      </c>
      <c r="Q531" s="5">
        <f t="shared" si="17"/>
        <v>1508.6704570775</v>
      </c>
      <c r="T531" s="26"/>
      <c r="U531" s="26">
        <v>231.4941667</v>
      </c>
      <c r="V531" s="26"/>
      <c r="W531" s="26">
        <f t="shared" si="42"/>
        <v>355530.509925548</v>
      </c>
      <c r="X531" s="26">
        <f t="shared" si="43"/>
        <v>355760.607</v>
      </c>
      <c r="Y531" s="26"/>
    </row>
    <row r="532" ht="14.25" customHeight="1" spans="1:25">
      <c r="A532" s="10" t="s">
        <v>558</v>
      </c>
      <c r="B532">
        <v>1.25</v>
      </c>
      <c r="C532">
        <v>1.125</v>
      </c>
      <c r="D532">
        <v>1</v>
      </c>
      <c r="E532">
        <v>295</v>
      </c>
      <c r="F532">
        <v>55</v>
      </c>
      <c r="G532">
        <v>20</v>
      </c>
      <c r="H532" s="5">
        <f t="shared" si="0"/>
        <v>295.922222222222</v>
      </c>
      <c r="I532">
        <v>83</v>
      </c>
      <c r="J532">
        <v>29</v>
      </c>
      <c r="K532">
        <v>9</v>
      </c>
      <c r="L532" s="5">
        <f t="shared" si="1"/>
        <v>83.4858333333333</v>
      </c>
      <c r="M532" s="5">
        <f t="shared" si="28"/>
        <v>24.6782338139725</v>
      </c>
      <c r="N532" s="5">
        <f t="shared" si="29"/>
        <v>2.817910781451</v>
      </c>
      <c r="O532">
        <v>1.52</v>
      </c>
      <c r="P532">
        <v>1505.676</v>
      </c>
      <c r="Q532" s="5">
        <f t="shared" si="17"/>
        <v>1508.88891078145</v>
      </c>
      <c r="T532" s="26"/>
      <c r="U532" s="26">
        <v>232.4941667</v>
      </c>
      <c r="V532" s="26"/>
      <c r="W532" s="26">
        <f t="shared" si="42"/>
        <v>355525.854458375</v>
      </c>
      <c r="X532" s="26">
        <f t="shared" si="43"/>
        <v>355760.607</v>
      </c>
      <c r="Y532" s="26"/>
    </row>
    <row r="533" ht="14.25" customHeight="1" spans="1:25">
      <c r="A533" s="10" t="s">
        <v>559</v>
      </c>
      <c r="B533">
        <v>1.405</v>
      </c>
      <c r="C533">
        <v>1.302</v>
      </c>
      <c r="D533">
        <v>1.2</v>
      </c>
      <c r="E533">
        <v>321</v>
      </c>
      <c r="F533">
        <v>33</v>
      </c>
      <c r="G533">
        <v>24</v>
      </c>
      <c r="H533" s="5">
        <f t="shared" si="0"/>
        <v>321.556666666667</v>
      </c>
      <c r="I533">
        <v>81</v>
      </c>
      <c r="J533">
        <v>19</v>
      </c>
      <c r="K533">
        <v>56</v>
      </c>
      <c r="L533" s="5">
        <f t="shared" si="1"/>
        <v>81.3322222222222</v>
      </c>
      <c r="M533" s="5">
        <f t="shared" si="28"/>
        <v>20.0344047818254</v>
      </c>
      <c r="N533" s="5">
        <f t="shared" si="29"/>
        <v>3.05416487200549</v>
      </c>
      <c r="O533">
        <v>1.52</v>
      </c>
      <c r="P533">
        <v>1505.676</v>
      </c>
      <c r="Q533" s="5">
        <f t="shared" si="17"/>
        <v>1508.94816487201</v>
      </c>
      <c r="T533" s="26"/>
      <c r="U533" s="26">
        <v>233.4941667</v>
      </c>
      <c r="V533" s="26"/>
      <c r="W533" s="26">
        <f t="shared" si="42"/>
        <v>355502.140941837</v>
      </c>
      <c r="X533" s="26">
        <f t="shared" si="43"/>
        <v>355760.607</v>
      </c>
      <c r="Y533" s="26"/>
    </row>
    <row r="534" ht="14.25" customHeight="1" spans="1:25">
      <c r="A534" s="10" t="s">
        <v>560</v>
      </c>
      <c r="B534">
        <v>1.224</v>
      </c>
      <c r="C534">
        <v>1.112</v>
      </c>
      <c r="D534">
        <v>1</v>
      </c>
      <c r="E534">
        <v>334</v>
      </c>
      <c r="F534">
        <v>44</v>
      </c>
      <c r="G534">
        <v>55</v>
      </c>
      <c r="H534" s="5">
        <f t="shared" si="0"/>
        <v>334.748611111111</v>
      </c>
      <c r="I534">
        <v>81</v>
      </c>
      <c r="J534">
        <v>21</v>
      </c>
      <c r="K534">
        <v>12</v>
      </c>
      <c r="L534" s="5">
        <f t="shared" si="1"/>
        <v>81.3533333333333</v>
      </c>
      <c r="M534" s="5">
        <f t="shared" si="28"/>
        <v>21.8937084147874</v>
      </c>
      <c r="N534" s="5">
        <f t="shared" si="29"/>
        <v>3.32935434273742</v>
      </c>
      <c r="O534">
        <v>1.52</v>
      </c>
      <c r="P534">
        <v>1505.676</v>
      </c>
      <c r="Q534" s="5">
        <f t="shared" si="17"/>
        <v>1509.41335434274</v>
      </c>
      <c r="T534" s="26"/>
      <c r="U534" s="26">
        <v>234.4941667</v>
      </c>
      <c r="V534" s="26"/>
      <c r="W534" s="26">
        <f t="shared" si="42"/>
        <v>355488.102753107</v>
      </c>
      <c r="X534" s="26">
        <f t="shared" si="43"/>
        <v>355760.607</v>
      </c>
      <c r="Y534" s="26"/>
    </row>
    <row r="535" ht="14.25" customHeight="1" spans="1:25">
      <c r="A535" s="10" t="s">
        <v>561</v>
      </c>
      <c r="B535">
        <v>1.236</v>
      </c>
      <c r="C535">
        <v>1.118</v>
      </c>
      <c r="D535">
        <v>1</v>
      </c>
      <c r="E535">
        <v>343</v>
      </c>
      <c r="F535">
        <v>34</v>
      </c>
      <c r="G535">
        <v>27</v>
      </c>
      <c r="H535" s="5">
        <f t="shared" si="0"/>
        <v>343.574166666667</v>
      </c>
      <c r="I535">
        <v>80</v>
      </c>
      <c r="J535">
        <v>50</v>
      </c>
      <c r="K535">
        <v>55</v>
      </c>
      <c r="L535" s="5">
        <f t="shared" si="1"/>
        <v>80.8486111111111</v>
      </c>
      <c r="M535" s="5">
        <f t="shared" si="28"/>
        <v>23.0030409941589</v>
      </c>
      <c r="N535" s="5">
        <f t="shared" si="29"/>
        <v>3.70565412352453</v>
      </c>
      <c r="O535">
        <v>1.52</v>
      </c>
      <c r="P535">
        <v>1505.676</v>
      </c>
      <c r="Q535" s="5">
        <f t="shared" si="17"/>
        <v>1509.78365412352</v>
      </c>
      <c r="T535" s="26"/>
      <c r="U535" s="26">
        <v>235.4941667</v>
      </c>
      <c r="V535" s="26"/>
      <c r="W535" s="26">
        <f t="shared" si="42"/>
        <v>355477.478345421</v>
      </c>
      <c r="X535" s="26">
        <f t="shared" si="43"/>
        <v>355760.607</v>
      </c>
      <c r="Y535" s="26"/>
    </row>
    <row r="536" ht="14.25" customHeight="1" spans="1:25">
      <c r="A536" s="10" t="s">
        <v>562</v>
      </c>
      <c r="B536">
        <v>1.224</v>
      </c>
      <c r="C536">
        <v>1.112</v>
      </c>
      <c r="D536">
        <v>1</v>
      </c>
      <c r="E536">
        <v>321</v>
      </c>
      <c r="F536">
        <v>51</v>
      </c>
      <c r="G536">
        <v>22</v>
      </c>
      <c r="H536" s="5">
        <f t="shared" si="0"/>
        <v>321.856111111111</v>
      </c>
      <c r="I536">
        <v>59</v>
      </c>
      <c r="J536">
        <v>38</v>
      </c>
      <c r="K536">
        <v>55</v>
      </c>
      <c r="L536" s="5">
        <f t="shared" si="1"/>
        <v>59.6486111111111</v>
      </c>
      <c r="M536" s="5">
        <f t="shared" si="28"/>
        <v>16.6806099270979</v>
      </c>
      <c r="N536" s="5">
        <f t="shared" si="29"/>
        <v>9.7674415701859</v>
      </c>
      <c r="O536">
        <v>1.52</v>
      </c>
      <c r="P536">
        <v>1505.676</v>
      </c>
      <c r="Q536" s="5">
        <f t="shared" si="17"/>
        <v>1515.85144157019</v>
      </c>
      <c r="T536" s="26"/>
      <c r="U536" s="26">
        <v>236.4941667</v>
      </c>
      <c r="V536" s="26"/>
      <c r="W536" s="26">
        <f t="shared" si="42"/>
        <v>355492.233839511</v>
      </c>
      <c r="X536" s="26">
        <f t="shared" si="43"/>
        <v>355760.607</v>
      </c>
      <c r="Y536" s="26"/>
    </row>
    <row r="537" ht="14.25" customHeight="1" spans="1:25">
      <c r="A537" s="10" t="s">
        <v>563</v>
      </c>
      <c r="B537">
        <v>1.262</v>
      </c>
      <c r="C537">
        <v>1.131</v>
      </c>
      <c r="D537">
        <v>1</v>
      </c>
      <c r="E537">
        <v>302</v>
      </c>
      <c r="F537">
        <v>32</v>
      </c>
      <c r="G537">
        <v>36</v>
      </c>
      <c r="H537" s="5">
        <f t="shared" si="0"/>
        <v>302.543333333333</v>
      </c>
      <c r="I537">
        <v>80</v>
      </c>
      <c r="J537">
        <v>48</v>
      </c>
      <c r="K537">
        <v>16</v>
      </c>
      <c r="L537" s="5">
        <f t="shared" si="1"/>
        <v>80.8044444444444</v>
      </c>
      <c r="M537" s="5">
        <f t="shared" si="28"/>
        <v>25.5309171087838</v>
      </c>
      <c r="N537" s="5">
        <f t="shared" si="29"/>
        <v>4.13307389657472</v>
      </c>
      <c r="O537">
        <v>1.52</v>
      </c>
      <c r="P537">
        <v>1505.676</v>
      </c>
      <c r="Q537" s="5">
        <f t="shared" si="17"/>
        <v>1510.19807389657</v>
      </c>
      <c r="T537" s="26"/>
      <c r="U537" s="26">
        <v>237.4941667</v>
      </c>
      <c r="V537" s="26"/>
      <c r="W537" s="26">
        <f t="shared" si="42"/>
        <v>355505.461091829</v>
      </c>
      <c r="X537" s="26">
        <f t="shared" si="43"/>
        <v>355760.607</v>
      </c>
      <c r="Y537" s="26"/>
    </row>
    <row r="538" ht="14.25" customHeight="1" spans="1:25">
      <c r="A538" s="10" t="s">
        <v>564</v>
      </c>
      <c r="B538">
        <v>1.28</v>
      </c>
      <c r="C538">
        <v>1.14</v>
      </c>
      <c r="D538">
        <v>1</v>
      </c>
      <c r="E538">
        <v>304</v>
      </c>
      <c r="F538">
        <v>52</v>
      </c>
      <c r="G538">
        <v>46</v>
      </c>
      <c r="H538" s="5">
        <f t="shared" si="0"/>
        <v>304.879444444444</v>
      </c>
      <c r="I538">
        <v>78</v>
      </c>
      <c r="J538">
        <v>55</v>
      </c>
      <c r="K538">
        <v>42</v>
      </c>
      <c r="L538" s="5">
        <f t="shared" si="1"/>
        <v>78.9283333333333</v>
      </c>
      <c r="M538" s="5">
        <f t="shared" si="28"/>
        <v>26.9674135357889</v>
      </c>
      <c r="N538" s="5">
        <f t="shared" si="29"/>
        <v>5.27694856823902</v>
      </c>
      <c r="O538">
        <v>1.52</v>
      </c>
      <c r="P538">
        <v>1505.676</v>
      </c>
      <c r="Q538" s="5">
        <f t="shared" si="17"/>
        <v>1511.33294856824</v>
      </c>
      <c r="T538" s="26"/>
      <c r="U538" s="26">
        <v>238.4941667</v>
      </c>
      <c r="V538" s="26"/>
      <c r="W538" s="26">
        <f t="shared" si="42"/>
        <v>355500.670759926</v>
      </c>
      <c r="X538" s="26">
        <f t="shared" si="43"/>
        <v>355760.607</v>
      </c>
      <c r="Y538" s="26"/>
    </row>
    <row r="539" ht="14.25" customHeight="1" spans="1:25">
      <c r="A539" s="10" t="s">
        <v>565</v>
      </c>
      <c r="B539">
        <v>1.245</v>
      </c>
      <c r="C539">
        <v>1.122</v>
      </c>
      <c r="D539">
        <v>1</v>
      </c>
      <c r="E539">
        <v>324</v>
      </c>
      <c r="F539">
        <v>52</v>
      </c>
      <c r="G539">
        <v>58</v>
      </c>
      <c r="H539" s="5">
        <f t="shared" si="0"/>
        <v>324.882777777778</v>
      </c>
      <c r="I539">
        <v>77</v>
      </c>
      <c r="J539">
        <v>51</v>
      </c>
      <c r="K539">
        <v>52</v>
      </c>
      <c r="L539" s="5">
        <f t="shared" si="1"/>
        <v>77.8644444444444</v>
      </c>
      <c r="M539" s="5">
        <f t="shared" si="28"/>
        <v>23.4172304487686</v>
      </c>
      <c r="N539" s="5">
        <f t="shared" si="29"/>
        <v>5.03542094606764</v>
      </c>
      <c r="O539">
        <v>1.52</v>
      </c>
      <c r="P539">
        <v>1505.676</v>
      </c>
      <c r="Q539" s="5">
        <f t="shared" si="17"/>
        <v>1511.10942094607</v>
      </c>
      <c r="T539" s="26"/>
      <c r="U539" s="26">
        <v>239.4941667</v>
      </c>
      <c r="V539" s="26"/>
      <c r="W539" s="26">
        <f t="shared" si="42"/>
        <v>355480.695313849</v>
      </c>
      <c r="X539" s="26">
        <f t="shared" si="43"/>
        <v>355760.607</v>
      </c>
      <c r="Y539" s="26"/>
    </row>
    <row r="540" ht="14.25" customHeight="1" spans="1:25">
      <c r="A540" s="10" t="s">
        <v>566</v>
      </c>
      <c r="B540">
        <v>1.265</v>
      </c>
      <c r="C540">
        <v>1.132</v>
      </c>
      <c r="D540">
        <v>1</v>
      </c>
      <c r="E540">
        <v>342</v>
      </c>
      <c r="F540">
        <v>21</v>
      </c>
      <c r="G540">
        <v>26</v>
      </c>
      <c r="H540" s="5">
        <f t="shared" si="0"/>
        <v>342.357222222222</v>
      </c>
      <c r="I540">
        <v>79</v>
      </c>
      <c r="J540">
        <v>10</v>
      </c>
      <c r="K540">
        <v>8</v>
      </c>
      <c r="L540" s="5">
        <f t="shared" si="1"/>
        <v>79.1688888888889</v>
      </c>
      <c r="M540" s="5">
        <f t="shared" si="28"/>
        <v>25.5642341308836</v>
      </c>
      <c r="N540" s="5">
        <f t="shared" si="29"/>
        <v>4.89102624914036</v>
      </c>
      <c r="O540">
        <v>1.52</v>
      </c>
      <c r="P540">
        <v>1505.676</v>
      </c>
      <c r="Q540" s="5">
        <f t="shared" si="17"/>
        <v>1510.95502624914</v>
      </c>
      <c r="T540" s="26"/>
      <c r="U540" s="26">
        <v>240.4941667</v>
      </c>
      <c r="V540" s="26"/>
      <c r="W540" s="26">
        <f t="shared" si="42"/>
        <v>355462.651606708</v>
      </c>
      <c r="X540" s="26">
        <f t="shared" si="43"/>
        <v>355760.607</v>
      </c>
      <c r="Y540" s="26"/>
    </row>
    <row r="541" ht="14.25" customHeight="1" spans="1:25">
      <c r="A541" s="10" t="s">
        <v>567</v>
      </c>
      <c r="B541">
        <v>1.275</v>
      </c>
      <c r="C541">
        <v>1.138</v>
      </c>
      <c r="D541">
        <v>1</v>
      </c>
      <c r="E541">
        <v>341</v>
      </c>
      <c r="F541">
        <v>50</v>
      </c>
      <c r="G541">
        <v>10</v>
      </c>
      <c r="H541" s="5">
        <f t="shared" si="0"/>
        <v>341.836111111111</v>
      </c>
      <c r="I541">
        <v>78</v>
      </c>
      <c r="J541">
        <v>14</v>
      </c>
      <c r="K541">
        <v>3</v>
      </c>
      <c r="L541" s="5">
        <f t="shared" si="1"/>
        <v>78.2341666666667</v>
      </c>
      <c r="M541" s="5">
        <f t="shared" si="28"/>
        <v>26.3565438216798</v>
      </c>
      <c r="N541" s="5">
        <f t="shared" si="29"/>
        <v>5.48976801623402</v>
      </c>
      <c r="O541">
        <v>1.52</v>
      </c>
      <c r="P541">
        <v>1505.676</v>
      </c>
      <c r="Q541" s="5">
        <f t="shared" si="17"/>
        <v>1511.54776801623</v>
      </c>
      <c r="T541" s="26"/>
      <c r="U541" s="26">
        <v>241.4941667</v>
      </c>
      <c r="V541" s="26"/>
      <c r="W541" s="26">
        <f t="shared" ref="W541:W572" si="44">$S$444+(H541*SIN(U541*3.141592654/180))</f>
        <v>355460.212183583</v>
      </c>
      <c r="X541" s="26">
        <f t="shared" ref="X541:X572" si="45">$S$444+(I541*SIN(V541*3.141592654/180))</f>
        <v>355760.607</v>
      </c>
      <c r="Y541" s="26"/>
    </row>
    <row r="542" ht="14.25" customHeight="1" spans="1:25">
      <c r="A542" s="10" t="s">
        <v>568</v>
      </c>
      <c r="B542">
        <v>1.764</v>
      </c>
      <c r="C542">
        <v>1.632</v>
      </c>
      <c r="D542">
        <v>1.5</v>
      </c>
      <c r="E542">
        <v>327</v>
      </c>
      <c r="F542">
        <v>27</v>
      </c>
      <c r="G542">
        <v>21</v>
      </c>
      <c r="H542" s="5">
        <f t="shared" si="0"/>
        <v>327.455833333333</v>
      </c>
      <c r="I542">
        <v>75</v>
      </c>
      <c r="J542">
        <v>46</v>
      </c>
      <c r="K542">
        <v>21</v>
      </c>
      <c r="L542" s="5">
        <f t="shared" si="1"/>
        <v>75.7725</v>
      </c>
      <c r="M542" s="5">
        <f t="shared" si="28"/>
        <v>24.8053291356832</v>
      </c>
      <c r="N542" s="5">
        <f t="shared" si="29"/>
        <v>6.28938277197877</v>
      </c>
      <c r="O542">
        <v>1.52</v>
      </c>
      <c r="P542">
        <v>1505.676</v>
      </c>
      <c r="Q542" s="5">
        <f t="shared" si="17"/>
        <v>1511.85338277198</v>
      </c>
      <c r="T542" s="26"/>
      <c r="U542" s="26">
        <v>242.4941667</v>
      </c>
      <c r="V542" s="26"/>
      <c r="W542" s="26">
        <f t="shared" si="44"/>
        <v>355470.165523816</v>
      </c>
      <c r="X542" s="26">
        <f t="shared" si="45"/>
        <v>355760.607</v>
      </c>
      <c r="Y542" s="26"/>
    </row>
    <row r="543" ht="14.25" customHeight="1" spans="1:25">
      <c r="A543" s="10" t="s">
        <v>569</v>
      </c>
      <c r="B543">
        <v>0.98</v>
      </c>
      <c r="C543">
        <v>0.84</v>
      </c>
      <c r="D543">
        <v>0.7</v>
      </c>
      <c r="E543">
        <v>307</v>
      </c>
      <c r="F543">
        <v>45</v>
      </c>
      <c r="G543">
        <v>46</v>
      </c>
      <c r="H543" s="5">
        <f t="shared" si="0"/>
        <v>307.762777777778</v>
      </c>
      <c r="I543">
        <v>78</v>
      </c>
      <c r="J543">
        <v>19</v>
      </c>
      <c r="K543">
        <v>29</v>
      </c>
      <c r="L543" s="5">
        <f t="shared" si="1"/>
        <v>78.3247222222222</v>
      </c>
      <c r="M543" s="5">
        <f t="shared" si="28"/>
        <v>26.8533581395767</v>
      </c>
      <c r="N543" s="5">
        <f t="shared" si="29"/>
        <v>5.54898049517012</v>
      </c>
      <c r="O543">
        <v>1.52</v>
      </c>
      <c r="P543">
        <v>1505.676</v>
      </c>
      <c r="Q543" s="5">
        <f t="shared" si="17"/>
        <v>1511.90498049517</v>
      </c>
      <c r="T543" s="26"/>
      <c r="U543" s="26">
        <v>243.4941667</v>
      </c>
      <c r="V543" s="26"/>
      <c r="W543" s="26">
        <f t="shared" si="44"/>
        <v>355485.193497198</v>
      </c>
      <c r="X543" s="26">
        <f t="shared" si="45"/>
        <v>355760.607</v>
      </c>
      <c r="Y543" s="26"/>
    </row>
    <row r="544" ht="14.25" customHeight="1" spans="1:25">
      <c r="A544" s="10" t="s">
        <v>570</v>
      </c>
      <c r="B544">
        <v>1.325</v>
      </c>
      <c r="C544">
        <v>1.162</v>
      </c>
      <c r="D544">
        <v>1</v>
      </c>
      <c r="E544">
        <v>310</v>
      </c>
      <c r="F544">
        <v>32</v>
      </c>
      <c r="G544">
        <v>3</v>
      </c>
      <c r="H544" s="5">
        <f t="shared" si="0"/>
        <v>310.534166666667</v>
      </c>
      <c r="I544">
        <v>78</v>
      </c>
      <c r="J544">
        <v>21</v>
      </c>
      <c r="K544">
        <v>38</v>
      </c>
      <c r="L544" s="5">
        <f t="shared" si="1"/>
        <v>78.3605555555555</v>
      </c>
      <c r="M544" s="5">
        <f t="shared" si="28"/>
        <v>31.1771209921761</v>
      </c>
      <c r="N544" s="5">
        <f t="shared" si="29"/>
        <v>6.42211482962868</v>
      </c>
      <c r="O544">
        <v>1.52</v>
      </c>
      <c r="P544">
        <v>1505.676</v>
      </c>
      <c r="Q544" s="5">
        <f t="shared" si="17"/>
        <v>1512.45611482963</v>
      </c>
      <c r="T544" s="26"/>
      <c r="U544" s="26">
        <v>244.4941667</v>
      </c>
      <c r="V544" s="26"/>
      <c r="W544" s="26">
        <f t="shared" si="44"/>
        <v>355480.337043112</v>
      </c>
      <c r="X544" s="26">
        <f t="shared" si="45"/>
        <v>355760.607</v>
      </c>
      <c r="Y544" s="26"/>
    </row>
    <row r="545" ht="14.25" customHeight="1" spans="1:25">
      <c r="A545" s="10" t="s">
        <v>571</v>
      </c>
      <c r="B545">
        <v>0.83</v>
      </c>
      <c r="C545">
        <v>0.664</v>
      </c>
      <c r="D545">
        <v>0.5</v>
      </c>
      <c r="E545">
        <v>318</v>
      </c>
      <c r="F545">
        <v>50</v>
      </c>
      <c r="G545">
        <v>49</v>
      </c>
      <c r="H545" s="5">
        <f t="shared" si="0"/>
        <v>318.846944444444</v>
      </c>
      <c r="I545">
        <v>76</v>
      </c>
      <c r="J545">
        <v>59</v>
      </c>
      <c r="K545">
        <v>39</v>
      </c>
      <c r="L545" s="5">
        <f t="shared" si="1"/>
        <v>76.9941666666667</v>
      </c>
      <c r="M545" s="5">
        <f t="shared" si="28"/>
        <v>31.3286286351824</v>
      </c>
      <c r="N545" s="5">
        <f t="shared" si="29"/>
        <v>7.23614350326519</v>
      </c>
      <c r="O545">
        <v>1.52</v>
      </c>
      <c r="P545">
        <v>1505.676</v>
      </c>
      <c r="Q545" s="5">
        <f t="shared" si="17"/>
        <v>1513.76814350327</v>
      </c>
      <c r="T545" s="26"/>
      <c r="U545" s="26">
        <v>245.4941667</v>
      </c>
      <c r="V545" s="26"/>
      <c r="W545" s="26">
        <f t="shared" si="44"/>
        <v>355470.482092379</v>
      </c>
      <c r="X545" s="26">
        <f t="shared" si="45"/>
        <v>355760.607</v>
      </c>
      <c r="Y545" s="26"/>
    </row>
    <row r="546" ht="14.25" customHeight="1" spans="1:25">
      <c r="A546" s="10" t="s">
        <v>572</v>
      </c>
      <c r="B546">
        <v>0.872</v>
      </c>
      <c r="C546">
        <v>0.686</v>
      </c>
      <c r="D546">
        <v>0.5</v>
      </c>
      <c r="E546">
        <v>323</v>
      </c>
      <c r="F546">
        <v>7</v>
      </c>
      <c r="G546">
        <v>13</v>
      </c>
      <c r="H546" s="5">
        <f t="shared" si="0"/>
        <v>323.120277777778</v>
      </c>
      <c r="I546">
        <v>75</v>
      </c>
      <c r="J546">
        <v>35</v>
      </c>
      <c r="K546">
        <v>7</v>
      </c>
      <c r="L546" s="5">
        <f t="shared" si="1"/>
        <v>75.5852777777778</v>
      </c>
      <c r="M546" s="5">
        <f t="shared" si="28"/>
        <v>34.8946972125466</v>
      </c>
      <c r="N546" s="5">
        <f t="shared" si="29"/>
        <v>8.96899340792643</v>
      </c>
      <c r="O546">
        <v>1.52</v>
      </c>
      <c r="P546">
        <v>1505.676</v>
      </c>
      <c r="Q546" s="5">
        <f t="shared" si="17"/>
        <v>1515.47899340793</v>
      </c>
      <c r="T546" s="26"/>
      <c r="U546" s="26">
        <v>246.4941667</v>
      </c>
      <c r="V546" s="26"/>
      <c r="W546" s="26">
        <f t="shared" si="44"/>
        <v>355464.299413125</v>
      </c>
      <c r="X546" s="26">
        <f t="shared" si="45"/>
        <v>355760.607</v>
      </c>
      <c r="Y546" s="26"/>
    </row>
    <row r="547" ht="14.25" customHeight="1" spans="1:25">
      <c r="A547" s="10" t="s">
        <v>573</v>
      </c>
      <c r="B547">
        <v>1.348</v>
      </c>
      <c r="C547">
        <v>1.174</v>
      </c>
      <c r="D547">
        <v>1</v>
      </c>
      <c r="E547">
        <v>309</v>
      </c>
      <c r="F547">
        <v>40</v>
      </c>
      <c r="G547">
        <v>12</v>
      </c>
      <c r="H547" s="5">
        <f t="shared" si="0"/>
        <v>309.67</v>
      </c>
      <c r="I547">
        <v>77</v>
      </c>
      <c r="J547">
        <v>16</v>
      </c>
      <c r="K547">
        <v>41</v>
      </c>
      <c r="L547" s="5">
        <f t="shared" si="1"/>
        <v>77.2780555555556</v>
      </c>
      <c r="M547" s="5">
        <f t="shared" si="28"/>
        <v>33.1123124240397</v>
      </c>
      <c r="N547" s="5">
        <f t="shared" si="29"/>
        <v>7.47550923277928</v>
      </c>
      <c r="O547">
        <v>1.52</v>
      </c>
      <c r="P547">
        <v>1505.676</v>
      </c>
      <c r="Q547" s="5">
        <f t="shared" si="17"/>
        <v>1513.49750923278</v>
      </c>
      <c r="T547" s="26"/>
      <c r="U547" s="26">
        <v>247.4941667</v>
      </c>
      <c r="V547" s="26"/>
      <c r="W547" s="26">
        <f t="shared" si="44"/>
        <v>355474.521291671</v>
      </c>
      <c r="X547" s="26">
        <f t="shared" si="45"/>
        <v>355760.607</v>
      </c>
      <c r="Y547" s="26"/>
    </row>
    <row r="548" ht="14.25" customHeight="1" spans="1:25">
      <c r="A548" s="10" t="s">
        <v>574</v>
      </c>
      <c r="B548">
        <v>0.868</v>
      </c>
      <c r="C548">
        <v>0.684</v>
      </c>
      <c r="D548">
        <v>0.5</v>
      </c>
      <c r="E548">
        <v>310</v>
      </c>
      <c r="F548">
        <v>10</v>
      </c>
      <c r="G548">
        <v>56</v>
      </c>
      <c r="H548" s="5">
        <f t="shared" si="0"/>
        <v>310.182222222222</v>
      </c>
      <c r="I548">
        <v>76</v>
      </c>
      <c r="J548">
        <v>56</v>
      </c>
      <c r="K548">
        <v>31</v>
      </c>
      <c r="L548" s="5">
        <f t="shared" si="1"/>
        <v>76.9419444444444</v>
      </c>
      <c r="M548" s="5">
        <f t="shared" si="28"/>
        <v>34.9214305255945</v>
      </c>
      <c r="N548" s="5">
        <f t="shared" si="29"/>
        <v>8.09952673851714</v>
      </c>
      <c r="O548">
        <v>1.52</v>
      </c>
      <c r="P548">
        <v>1505.676</v>
      </c>
      <c r="Q548" s="5">
        <f t="shared" si="17"/>
        <v>1514.61152673852</v>
      </c>
      <c r="T548" s="26"/>
      <c r="U548" s="26">
        <v>248.4941667</v>
      </c>
      <c r="V548" s="26"/>
      <c r="W548" s="26">
        <f t="shared" si="44"/>
        <v>355472.019586614</v>
      </c>
      <c r="X548" s="26">
        <f t="shared" si="45"/>
        <v>355760.607</v>
      </c>
      <c r="Y548" s="26"/>
    </row>
    <row r="549" ht="14.25" customHeight="1" spans="1:25">
      <c r="A549" s="10" t="s">
        <v>575</v>
      </c>
      <c r="B549">
        <v>1.28</v>
      </c>
      <c r="C549">
        <v>1.14</v>
      </c>
      <c r="D549">
        <v>1</v>
      </c>
      <c r="E549">
        <v>262</v>
      </c>
      <c r="F549">
        <v>11</v>
      </c>
      <c r="G549">
        <v>1</v>
      </c>
      <c r="H549" s="5">
        <f t="shared" si="0"/>
        <v>262.183611111111</v>
      </c>
      <c r="I549">
        <v>88</v>
      </c>
      <c r="J549">
        <v>17</v>
      </c>
      <c r="K549">
        <v>35</v>
      </c>
      <c r="L549" s="5">
        <f t="shared" si="1"/>
        <v>88.2930555555556</v>
      </c>
      <c r="M549" s="5">
        <f t="shared" si="28"/>
        <v>27.9751559125422</v>
      </c>
      <c r="N549" s="5">
        <f t="shared" si="29"/>
        <v>0.833676927915186</v>
      </c>
      <c r="O549">
        <v>1.52</v>
      </c>
      <c r="P549">
        <v>1505.676</v>
      </c>
      <c r="Q549" s="5">
        <f t="shared" si="17"/>
        <v>1506.88967692791</v>
      </c>
      <c r="T549" s="26"/>
      <c r="U549" s="26">
        <v>249.4941667</v>
      </c>
      <c r="V549" s="26"/>
      <c r="W549" s="26">
        <f t="shared" si="44"/>
        <v>355515.036252298</v>
      </c>
      <c r="X549" s="26">
        <f t="shared" si="45"/>
        <v>355760.607</v>
      </c>
      <c r="Y549" s="26"/>
    </row>
    <row r="550" ht="14.25" customHeight="1" spans="1:25">
      <c r="A550" s="10" t="s">
        <v>576</v>
      </c>
      <c r="B550">
        <v>1.294</v>
      </c>
      <c r="C550">
        <v>1.147</v>
      </c>
      <c r="D550">
        <v>1</v>
      </c>
      <c r="E550">
        <v>280</v>
      </c>
      <c r="F550">
        <v>10</v>
      </c>
      <c r="G550">
        <v>11</v>
      </c>
      <c r="H550" s="5">
        <f t="shared" si="0"/>
        <v>280.169722222222</v>
      </c>
      <c r="I550">
        <v>87</v>
      </c>
      <c r="J550">
        <v>24</v>
      </c>
      <c r="K550">
        <v>30</v>
      </c>
      <c r="L550" s="5">
        <f t="shared" si="1"/>
        <v>87.4083333333333</v>
      </c>
      <c r="M550" s="5">
        <f t="shared" si="28"/>
        <v>29.3398875903305</v>
      </c>
      <c r="N550" s="5">
        <f t="shared" si="29"/>
        <v>1.3280404144779</v>
      </c>
      <c r="O550">
        <v>1.52</v>
      </c>
      <c r="P550">
        <v>1505.676</v>
      </c>
      <c r="Q550" s="5">
        <f t="shared" si="17"/>
        <v>1507.37704041448</v>
      </c>
      <c r="T550" s="26"/>
      <c r="U550" s="26">
        <v>250.4941667</v>
      </c>
      <c r="V550" s="26"/>
      <c r="W550" s="26">
        <f t="shared" si="44"/>
        <v>355496.516918161</v>
      </c>
      <c r="X550" s="26">
        <f t="shared" si="45"/>
        <v>355760.607</v>
      </c>
      <c r="Y550" s="26"/>
    </row>
    <row r="551" ht="14.25" customHeight="1" spans="1:25">
      <c r="A551" s="10" t="s">
        <v>577</v>
      </c>
      <c r="B551">
        <v>1.295</v>
      </c>
      <c r="C551">
        <v>1.148</v>
      </c>
      <c r="D551">
        <v>1</v>
      </c>
      <c r="E551">
        <v>262</v>
      </c>
      <c r="F551">
        <v>1</v>
      </c>
      <c r="G551">
        <v>30</v>
      </c>
      <c r="H551" s="5">
        <f t="shared" si="0"/>
        <v>262.025</v>
      </c>
      <c r="I551">
        <v>87</v>
      </c>
      <c r="J551">
        <v>3</v>
      </c>
      <c r="K551">
        <v>37</v>
      </c>
      <c r="L551" s="5">
        <f t="shared" si="1"/>
        <v>87.0602777777778</v>
      </c>
      <c r="M551" s="5">
        <f t="shared" si="28"/>
        <v>29.422409559772</v>
      </c>
      <c r="N551" s="5">
        <f t="shared" si="29"/>
        <v>1.51092611014249</v>
      </c>
      <c r="O551">
        <v>1.52</v>
      </c>
      <c r="P551">
        <v>1505.676</v>
      </c>
      <c r="Q551" s="5">
        <f t="shared" si="17"/>
        <v>1507.55892611014</v>
      </c>
      <c r="T551" s="26"/>
      <c r="U551" s="26">
        <v>251.4941667</v>
      </c>
      <c r="V551" s="26"/>
      <c r="W551" s="26">
        <f t="shared" si="44"/>
        <v>355512.130960171</v>
      </c>
      <c r="X551" s="26">
        <f t="shared" si="45"/>
        <v>355760.607</v>
      </c>
      <c r="Y551" s="26"/>
    </row>
    <row r="552" ht="14.25" customHeight="1" spans="1:25">
      <c r="A552" s="10" t="s">
        <v>578</v>
      </c>
      <c r="B552">
        <v>1.314</v>
      </c>
      <c r="C552">
        <v>1.154</v>
      </c>
      <c r="D552">
        <v>1</v>
      </c>
      <c r="E552">
        <v>281</v>
      </c>
      <c r="F552">
        <v>59</v>
      </c>
      <c r="G552">
        <v>52</v>
      </c>
      <c r="H552" s="5">
        <f t="shared" si="0"/>
        <v>281.997777777778</v>
      </c>
      <c r="I552">
        <v>86</v>
      </c>
      <c r="J552">
        <v>5</v>
      </c>
      <c r="K552">
        <v>12</v>
      </c>
      <c r="L552" s="5">
        <f t="shared" si="1"/>
        <v>86.0866666666667</v>
      </c>
      <c r="M552" s="5">
        <f t="shared" si="28"/>
        <v>31.2537477218671</v>
      </c>
      <c r="N552" s="5">
        <f t="shared" si="29"/>
        <v>2.13797376141834</v>
      </c>
      <c r="O552">
        <v>1.52</v>
      </c>
      <c r="P552">
        <v>1505.676</v>
      </c>
      <c r="Q552" s="5">
        <f t="shared" si="17"/>
        <v>1508.17997376142</v>
      </c>
      <c r="T552" s="26"/>
      <c r="U552" s="26">
        <v>252.4941667</v>
      </c>
      <c r="V552" s="26"/>
      <c r="W552" s="26">
        <f t="shared" si="44"/>
        <v>355491.669573952</v>
      </c>
      <c r="X552" s="26">
        <f t="shared" si="45"/>
        <v>355760.607</v>
      </c>
      <c r="Y552" s="26"/>
    </row>
    <row r="553" ht="14.25" customHeight="1" spans="1:25">
      <c r="A553" s="10" t="s">
        <v>579</v>
      </c>
      <c r="B553">
        <v>1.306</v>
      </c>
      <c r="C553">
        <v>1.153</v>
      </c>
      <c r="D553">
        <v>1</v>
      </c>
      <c r="E553">
        <v>261</v>
      </c>
      <c r="F553">
        <v>14</v>
      </c>
      <c r="G553">
        <v>15</v>
      </c>
      <c r="H553" s="5">
        <f t="shared" si="0"/>
        <v>261.2375</v>
      </c>
      <c r="I553">
        <v>86</v>
      </c>
      <c r="J553">
        <v>10</v>
      </c>
      <c r="K553">
        <v>52</v>
      </c>
      <c r="L553" s="5">
        <f t="shared" si="1"/>
        <v>86.1811111111111</v>
      </c>
      <c r="M553" s="5">
        <f t="shared" si="28"/>
        <v>30.4642602665432</v>
      </c>
      <c r="N553" s="5">
        <f t="shared" si="29"/>
        <v>2.03352171577796</v>
      </c>
      <c r="O553">
        <v>1.52</v>
      </c>
      <c r="P553">
        <v>1505.676</v>
      </c>
      <c r="Q553" s="5">
        <f t="shared" si="17"/>
        <v>1508.07652171578</v>
      </c>
      <c r="T553" s="26"/>
      <c r="U553" s="26">
        <v>253.4941667</v>
      </c>
      <c r="V553" s="26"/>
      <c r="W553" s="26">
        <f t="shared" si="44"/>
        <v>355510.134884629</v>
      </c>
      <c r="X553" s="26">
        <f t="shared" si="45"/>
        <v>355760.607</v>
      </c>
      <c r="Y553" s="26"/>
    </row>
    <row r="554" ht="14.25" customHeight="1" spans="1:25">
      <c r="A554" s="10" t="s">
        <v>580</v>
      </c>
      <c r="B554">
        <v>1.328</v>
      </c>
      <c r="C554">
        <v>1.164</v>
      </c>
      <c r="D554">
        <v>1</v>
      </c>
      <c r="E554">
        <v>284</v>
      </c>
      <c r="F554">
        <v>20</v>
      </c>
      <c r="G554">
        <v>10</v>
      </c>
      <c r="H554" s="5">
        <f t="shared" si="0"/>
        <v>284.336111111111</v>
      </c>
      <c r="I554">
        <v>84</v>
      </c>
      <c r="J554">
        <v>24</v>
      </c>
      <c r="K554">
        <v>43</v>
      </c>
      <c r="L554" s="5">
        <f t="shared" si="1"/>
        <v>84.4119444444444</v>
      </c>
      <c r="M554" s="5">
        <f t="shared" si="28"/>
        <v>32.4889912873667</v>
      </c>
      <c r="N554" s="5">
        <f t="shared" si="29"/>
        <v>3.17873549623705</v>
      </c>
      <c r="O554">
        <v>1.52</v>
      </c>
      <c r="P554">
        <v>1505.676</v>
      </c>
      <c r="Q554" s="5">
        <f t="shared" si="17"/>
        <v>1509.21073549624</v>
      </c>
      <c r="T554" s="26"/>
      <c r="U554" s="26">
        <v>254.4941667</v>
      </c>
      <c r="V554" s="26"/>
      <c r="W554" s="26">
        <f t="shared" si="44"/>
        <v>355486.61980187</v>
      </c>
      <c r="X554" s="26">
        <f t="shared" si="45"/>
        <v>355760.607</v>
      </c>
      <c r="Y554" s="26"/>
    </row>
    <row r="555" ht="14.25" customHeight="1" spans="1:25">
      <c r="A555" s="10" t="s">
        <v>581</v>
      </c>
      <c r="B555">
        <v>1.325</v>
      </c>
      <c r="C555">
        <v>1.163</v>
      </c>
      <c r="D555">
        <v>1</v>
      </c>
      <c r="E555">
        <v>263</v>
      </c>
      <c r="F555">
        <v>32</v>
      </c>
      <c r="G555">
        <v>21</v>
      </c>
      <c r="H555" s="5">
        <f t="shared" si="0"/>
        <v>263.539166666667</v>
      </c>
      <c r="I555">
        <v>85</v>
      </c>
      <c r="J555">
        <v>5</v>
      </c>
      <c r="K555">
        <v>50</v>
      </c>
      <c r="L555" s="5">
        <f t="shared" si="1"/>
        <v>85.0972222222222</v>
      </c>
      <c r="M555" s="5">
        <f t="shared" si="28"/>
        <v>32.2626100854274</v>
      </c>
      <c r="N555" s="5">
        <f t="shared" si="29"/>
        <v>2.76745700094304</v>
      </c>
      <c r="O555">
        <v>1.52</v>
      </c>
      <c r="P555">
        <v>1505.676</v>
      </c>
      <c r="Q555" s="5">
        <f t="shared" si="17"/>
        <v>1508.80045700094</v>
      </c>
      <c r="T555" s="26"/>
      <c r="U555" s="26">
        <v>255.4941667</v>
      </c>
      <c r="V555" s="26"/>
      <c r="W555" s="26">
        <f t="shared" si="44"/>
        <v>355505.468896874</v>
      </c>
      <c r="X555" s="26">
        <f t="shared" si="45"/>
        <v>355760.607</v>
      </c>
      <c r="Y555" s="26"/>
    </row>
    <row r="556" ht="14.25" customHeight="1" spans="1:25">
      <c r="A556" s="10" t="s">
        <v>582</v>
      </c>
      <c r="B556">
        <v>1.24</v>
      </c>
      <c r="C556">
        <v>1.07</v>
      </c>
      <c r="D556">
        <v>1</v>
      </c>
      <c r="E556">
        <v>282</v>
      </c>
      <c r="F556">
        <v>2</v>
      </c>
      <c r="G556">
        <v>49</v>
      </c>
      <c r="H556" s="5">
        <f t="shared" si="0"/>
        <v>282.046944444444</v>
      </c>
      <c r="I556">
        <v>83</v>
      </c>
      <c r="J556">
        <v>26</v>
      </c>
      <c r="K556">
        <v>35</v>
      </c>
      <c r="L556" s="5">
        <f t="shared" si="1"/>
        <v>83.4430555555556</v>
      </c>
      <c r="M556" s="5">
        <f t="shared" si="28"/>
        <v>23.6870519620357</v>
      </c>
      <c r="N556" s="5">
        <f t="shared" si="29"/>
        <v>2.72264879054892</v>
      </c>
      <c r="O556">
        <v>1.52</v>
      </c>
      <c r="P556">
        <v>1505.676</v>
      </c>
      <c r="Q556" s="5">
        <f t="shared" si="17"/>
        <v>1508.84864879055</v>
      </c>
      <c r="T556" s="26"/>
      <c r="U556" s="26">
        <v>256.4941667</v>
      </c>
      <c r="V556" s="26"/>
      <c r="W556" s="26">
        <f t="shared" si="44"/>
        <v>355486.359739914</v>
      </c>
      <c r="X556" s="26">
        <f t="shared" si="45"/>
        <v>355760.607</v>
      </c>
      <c r="Y556" s="26"/>
    </row>
    <row r="557" ht="14.25" customHeight="1" spans="1:25">
      <c r="A557" s="10" t="s">
        <v>583</v>
      </c>
      <c r="B557">
        <v>1.366</v>
      </c>
      <c r="C557">
        <v>1.183</v>
      </c>
      <c r="D557">
        <v>1</v>
      </c>
      <c r="E557">
        <v>266</v>
      </c>
      <c r="F557">
        <v>51</v>
      </c>
      <c r="G557">
        <v>32</v>
      </c>
      <c r="H557" s="5">
        <f t="shared" si="0"/>
        <v>266.858888888889</v>
      </c>
      <c r="I557">
        <v>84</v>
      </c>
      <c r="J557">
        <v>37</v>
      </c>
      <c r="K557">
        <v>26</v>
      </c>
      <c r="L557" s="5">
        <f t="shared" si="1"/>
        <v>84.6238888888889</v>
      </c>
      <c r="M557" s="5">
        <f t="shared" si="28"/>
        <v>36.278709876206</v>
      </c>
      <c r="N557" s="5">
        <f t="shared" si="29"/>
        <v>3.41408716748889</v>
      </c>
      <c r="O557">
        <v>1.52</v>
      </c>
      <c r="P557">
        <v>1505.676</v>
      </c>
      <c r="Q557" s="5">
        <f t="shared" si="17"/>
        <v>1509.42708716749</v>
      </c>
      <c r="T557" s="26"/>
      <c r="U557" s="26">
        <v>257.4941667</v>
      </c>
      <c r="V557" s="26"/>
      <c r="W557" s="26">
        <f t="shared" si="44"/>
        <v>355500.079614074</v>
      </c>
      <c r="X557" s="26">
        <f t="shared" si="45"/>
        <v>355760.607</v>
      </c>
      <c r="Y557" s="26"/>
    </row>
    <row r="558" ht="14.25" customHeight="1" spans="1:25">
      <c r="A558" s="10" t="s">
        <v>584</v>
      </c>
      <c r="B558">
        <v>1.36</v>
      </c>
      <c r="C558">
        <v>1.18</v>
      </c>
      <c r="D558">
        <v>1</v>
      </c>
      <c r="E558">
        <v>280</v>
      </c>
      <c r="F558">
        <v>5</v>
      </c>
      <c r="G558">
        <v>16</v>
      </c>
      <c r="H558" s="5">
        <f t="shared" si="0"/>
        <v>280.087777777778</v>
      </c>
      <c r="I558">
        <v>81</v>
      </c>
      <c r="J558">
        <v>55</v>
      </c>
      <c r="K558">
        <v>4</v>
      </c>
      <c r="L558" s="5">
        <f t="shared" si="1"/>
        <v>81.9177777777778</v>
      </c>
      <c r="M558" s="5">
        <f t="shared" si="28"/>
        <v>35.2883993742985</v>
      </c>
      <c r="N558" s="5">
        <f t="shared" si="29"/>
        <v>5.01111235902315</v>
      </c>
      <c r="O558">
        <v>1.52</v>
      </c>
      <c r="P558">
        <v>1505.676</v>
      </c>
      <c r="Q558" s="5">
        <f t="shared" si="17"/>
        <v>1511.02711235902</v>
      </c>
      <c r="T558" s="26"/>
      <c r="U558" s="26">
        <v>258.4941667</v>
      </c>
      <c r="V558" s="26"/>
      <c r="W558" s="26">
        <f t="shared" si="44"/>
        <v>355486.147753623</v>
      </c>
      <c r="X558" s="26">
        <f t="shared" si="45"/>
        <v>355760.607</v>
      </c>
      <c r="Y558" s="26"/>
    </row>
    <row r="559" ht="14.25" customHeight="1" spans="1:25">
      <c r="A559" s="10" t="s">
        <v>585</v>
      </c>
      <c r="B559">
        <v>1.382</v>
      </c>
      <c r="C559">
        <v>1.191</v>
      </c>
      <c r="D559">
        <v>1</v>
      </c>
      <c r="E559">
        <v>267</v>
      </c>
      <c r="F559">
        <v>25</v>
      </c>
      <c r="G559">
        <v>12</v>
      </c>
      <c r="H559" s="5">
        <f t="shared" si="0"/>
        <v>267.42</v>
      </c>
      <c r="I559">
        <v>83</v>
      </c>
      <c r="J559">
        <v>29</v>
      </c>
      <c r="K559">
        <v>2</v>
      </c>
      <c r="L559" s="5">
        <f t="shared" si="1"/>
        <v>83.4838888888889</v>
      </c>
      <c r="M559" s="5">
        <f t="shared" si="28"/>
        <v>37.7080489755764</v>
      </c>
      <c r="N559" s="5">
        <f t="shared" si="29"/>
        <v>4.30703068511823</v>
      </c>
      <c r="O559">
        <v>1.52</v>
      </c>
      <c r="P559">
        <v>1505.676</v>
      </c>
      <c r="Q559" s="5">
        <f t="shared" si="17"/>
        <v>1510.31203068512</v>
      </c>
      <c r="T559" s="26"/>
      <c r="U559" s="26">
        <v>259.4941667</v>
      </c>
      <c r="V559" s="26"/>
      <c r="W559" s="26">
        <f t="shared" si="44"/>
        <v>355497.669935517</v>
      </c>
      <c r="X559" s="26">
        <f t="shared" si="45"/>
        <v>355760.607</v>
      </c>
      <c r="Y559" s="26"/>
    </row>
    <row r="560" ht="14.25" customHeight="1" spans="1:25">
      <c r="A560" s="10" t="s">
        <v>586</v>
      </c>
      <c r="B560">
        <v>1.394</v>
      </c>
      <c r="C560">
        <v>1.197</v>
      </c>
      <c r="D560">
        <v>1</v>
      </c>
      <c r="E560">
        <v>281</v>
      </c>
      <c r="F560">
        <v>18</v>
      </c>
      <c r="G560">
        <v>42</v>
      </c>
      <c r="H560" s="5">
        <f t="shared" si="0"/>
        <v>281.311666666667</v>
      </c>
      <c r="I560">
        <v>80</v>
      </c>
      <c r="J560">
        <v>31</v>
      </c>
      <c r="K560">
        <v>22</v>
      </c>
      <c r="L560" s="5">
        <f t="shared" si="1"/>
        <v>80.5227777777778</v>
      </c>
      <c r="M560" s="5">
        <f t="shared" si="28"/>
        <v>38.331809542437</v>
      </c>
      <c r="N560" s="5">
        <f t="shared" si="29"/>
        <v>6.39888061885462</v>
      </c>
      <c r="O560">
        <v>1.52</v>
      </c>
      <c r="P560">
        <v>1505.676</v>
      </c>
      <c r="Q560" s="5">
        <f t="shared" si="17"/>
        <v>1512.39788061885</v>
      </c>
      <c r="T560" s="26"/>
      <c r="U560" s="26">
        <v>260.4941667</v>
      </c>
      <c r="V560" s="26"/>
      <c r="W560" s="26">
        <f t="shared" si="44"/>
        <v>355483.158082066</v>
      </c>
      <c r="X560" s="26">
        <f t="shared" si="45"/>
        <v>355760.607</v>
      </c>
      <c r="Y560" s="26"/>
    </row>
    <row r="561" ht="14.25" customHeight="1" spans="1:25">
      <c r="A561" s="10" t="s">
        <v>587</v>
      </c>
      <c r="B561">
        <v>1.422</v>
      </c>
      <c r="C561">
        <v>1.211</v>
      </c>
      <c r="D561">
        <v>1</v>
      </c>
      <c r="E561">
        <v>92</v>
      </c>
      <c r="F561">
        <v>24</v>
      </c>
      <c r="G561">
        <v>5</v>
      </c>
      <c r="H561" s="5">
        <f t="shared" si="0"/>
        <v>92.4013888888889</v>
      </c>
      <c r="I561">
        <v>81</v>
      </c>
      <c r="J561">
        <v>57</v>
      </c>
      <c r="K561">
        <v>56</v>
      </c>
      <c r="L561" s="5">
        <f t="shared" si="1"/>
        <v>81.9655555555556</v>
      </c>
      <c r="M561" s="5">
        <f t="shared" si="28"/>
        <v>41.3756143904146</v>
      </c>
      <c r="N561" s="5">
        <f t="shared" si="29"/>
        <v>5.84033056352216</v>
      </c>
      <c r="O561">
        <v>1.52</v>
      </c>
      <c r="P561">
        <v>1505.676</v>
      </c>
      <c r="Q561" s="5">
        <f t="shared" si="17"/>
        <v>1511.82533056352</v>
      </c>
      <c r="T561" s="26"/>
      <c r="U561" s="26">
        <v>261.4941667</v>
      </c>
      <c r="V561" s="26"/>
      <c r="W561" s="26">
        <f t="shared" si="44"/>
        <v>355669.221951562</v>
      </c>
      <c r="X561" s="26">
        <f t="shared" si="45"/>
        <v>355760.607</v>
      </c>
      <c r="Y561" s="26"/>
    </row>
    <row r="562" ht="14.25" customHeight="1" spans="1:25">
      <c r="A562" s="10" t="s">
        <v>588</v>
      </c>
      <c r="B562">
        <v>1.435</v>
      </c>
      <c r="C562">
        <v>1.218</v>
      </c>
      <c r="D562">
        <v>1</v>
      </c>
      <c r="E562">
        <v>277</v>
      </c>
      <c r="F562">
        <v>58</v>
      </c>
      <c r="G562">
        <v>46</v>
      </c>
      <c r="H562" s="5">
        <f t="shared" si="0"/>
        <v>277.979444444444</v>
      </c>
      <c r="I562">
        <v>80</v>
      </c>
      <c r="J562">
        <v>8</v>
      </c>
      <c r="K562">
        <v>40</v>
      </c>
      <c r="L562" s="5">
        <f t="shared" si="1"/>
        <v>80.1444444444444</v>
      </c>
      <c r="M562" s="5">
        <f t="shared" si="28"/>
        <v>42.2255621376107</v>
      </c>
      <c r="N562" s="5">
        <f t="shared" si="29"/>
        <v>7.33579274167714</v>
      </c>
      <c r="O562">
        <v>1.52</v>
      </c>
      <c r="P562">
        <v>1505.676</v>
      </c>
      <c r="Q562" s="5">
        <f t="shared" si="17"/>
        <v>1513.31379274168</v>
      </c>
      <c r="T562" s="26"/>
      <c r="U562" s="26">
        <v>262.4941667</v>
      </c>
      <c r="V562" s="26"/>
      <c r="W562" s="26">
        <f t="shared" si="44"/>
        <v>355485.009403688</v>
      </c>
      <c r="X562" s="26">
        <f t="shared" si="45"/>
        <v>355760.607</v>
      </c>
      <c r="Y562" s="26"/>
    </row>
    <row r="563" ht="14.25" customHeight="1" spans="1:25">
      <c r="A563" s="10" t="s">
        <v>589</v>
      </c>
      <c r="B563">
        <v>1.432</v>
      </c>
      <c r="C563">
        <v>1.216</v>
      </c>
      <c r="D563">
        <v>1</v>
      </c>
      <c r="E563">
        <v>267</v>
      </c>
      <c r="F563">
        <v>16</v>
      </c>
      <c r="G563">
        <v>39</v>
      </c>
      <c r="H563" s="5">
        <f t="shared" si="0"/>
        <v>267.2775</v>
      </c>
      <c r="I563">
        <v>80</v>
      </c>
      <c r="J563">
        <v>49</v>
      </c>
      <c r="K563">
        <v>58</v>
      </c>
      <c r="L563" s="5">
        <f t="shared" si="1"/>
        <v>80.8327777777778</v>
      </c>
      <c r="M563" s="5">
        <f t="shared" si="28"/>
        <v>42.1035093411228</v>
      </c>
      <c r="N563" s="5">
        <f t="shared" si="29"/>
        <v>6.79456434942602</v>
      </c>
      <c r="O563">
        <v>1.52</v>
      </c>
      <c r="P563">
        <v>1505.676</v>
      </c>
      <c r="Q563" s="5">
        <f t="shared" si="17"/>
        <v>1512.77456434943</v>
      </c>
      <c r="T563" s="26"/>
      <c r="U563" s="26">
        <v>263.4941667</v>
      </c>
      <c r="V563" s="26"/>
      <c r="W563" s="26">
        <f t="shared" si="44"/>
        <v>355495.050680143</v>
      </c>
      <c r="X563" s="26">
        <f t="shared" si="45"/>
        <v>355760.607</v>
      </c>
      <c r="Y563" s="26"/>
    </row>
    <row r="564" ht="14.25" customHeight="1" spans="1:25">
      <c r="A564" s="10" t="s">
        <v>590</v>
      </c>
      <c r="B564">
        <v>1.484</v>
      </c>
      <c r="C564">
        <v>1.242</v>
      </c>
      <c r="D564">
        <v>1</v>
      </c>
      <c r="E564">
        <v>280</v>
      </c>
      <c r="F564">
        <v>37</v>
      </c>
      <c r="G564">
        <v>37</v>
      </c>
      <c r="H564" s="5">
        <f t="shared" si="0"/>
        <v>280.626944444444</v>
      </c>
      <c r="I564">
        <v>79</v>
      </c>
      <c r="J564">
        <v>18</v>
      </c>
      <c r="K564">
        <v>35</v>
      </c>
      <c r="L564" s="5">
        <f t="shared" si="1"/>
        <v>79.3097222222222</v>
      </c>
      <c r="M564" s="5">
        <f t="shared" si="28"/>
        <v>46.7345460858501</v>
      </c>
      <c r="N564" s="5">
        <f t="shared" si="29"/>
        <v>8.82237114979296</v>
      </c>
      <c r="O564">
        <v>1.52</v>
      </c>
      <c r="P564">
        <v>1505.676</v>
      </c>
      <c r="Q564" s="5">
        <f t="shared" si="17"/>
        <v>1514.77637114979</v>
      </c>
      <c r="T564" s="26"/>
      <c r="U564" s="26">
        <v>264.4941667</v>
      </c>
      <c r="V564" s="26"/>
      <c r="W564" s="26">
        <f t="shared" si="44"/>
        <v>355481.274746153</v>
      </c>
      <c r="X564" s="26">
        <f t="shared" si="45"/>
        <v>355760.607</v>
      </c>
      <c r="Y564" s="26"/>
    </row>
    <row r="565" ht="14.25" customHeight="1" spans="1:25">
      <c r="A565" s="10" t="s">
        <v>591</v>
      </c>
      <c r="B565">
        <v>0.84</v>
      </c>
      <c r="C565">
        <v>0.62</v>
      </c>
      <c r="D565">
        <v>0.4</v>
      </c>
      <c r="E565">
        <v>266</v>
      </c>
      <c r="F565">
        <v>50</v>
      </c>
      <c r="G565">
        <v>54</v>
      </c>
      <c r="H565" s="5">
        <f t="shared" si="0"/>
        <v>266.848333333333</v>
      </c>
      <c r="I565">
        <v>80</v>
      </c>
      <c r="J565">
        <v>55</v>
      </c>
      <c r="K565">
        <v>26</v>
      </c>
      <c r="L565" s="5">
        <f t="shared" si="1"/>
        <v>80.9238888888889</v>
      </c>
      <c r="M565" s="5">
        <f t="shared" si="28"/>
        <v>42.9051077599335</v>
      </c>
      <c r="N565" s="5">
        <f t="shared" si="29"/>
        <v>6.85393825078463</v>
      </c>
      <c r="O565">
        <v>1.52</v>
      </c>
      <c r="P565">
        <v>1505.676</v>
      </c>
      <c r="Q565" s="5">
        <f t="shared" si="17"/>
        <v>1513.42993825078</v>
      </c>
      <c r="T565" s="26"/>
      <c r="U565" s="26">
        <v>265.4941667</v>
      </c>
      <c r="V565" s="26"/>
      <c r="W565" s="26">
        <f t="shared" si="44"/>
        <v>355494.583403958</v>
      </c>
      <c r="X565" s="26">
        <f t="shared" si="45"/>
        <v>355760.607</v>
      </c>
      <c r="Y565" s="26"/>
    </row>
    <row r="566" ht="14.25" customHeight="1" spans="1:25">
      <c r="A566" s="10" t="s">
        <v>592</v>
      </c>
      <c r="B566">
        <v>0.882</v>
      </c>
      <c r="C566">
        <v>0.641</v>
      </c>
      <c r="D566">
        <v>0.4</v>
      </c>
      <c r="E566">
        <v>278</v>
      </c>
      <c r="F566">
        <v>44</v>
      </c>
      <c r="G566">
        <v>19</v>
      </c>
      <c r="H566" s="5">
        <f t="shared" si="0"/>
        <v>278.738611111111</v>
      </c>
      <c r="I566">
        <v>79</v>
      </c>
      <c r="J566">
        <v>23</v>
      </c>
      <c r="K566">
        <v>53</v>
      </c>
      <c r="L566" s="5">
        <f t="shared" si="1"/>
        <v>79.3980555555556</v>
      </c>
      <c r="M566" s="5">
        <f t="shared" si="28"/>
        <v>46.5684120260398</v>
      </c>
      <c r="N566" s="5">
        <f t="shared" si="29"/>
        <v>8.71667717815157</v>
      </c>
      <c r="O566">
        <v>1.52</v>
      </c>
      <c r="P566">
        <v>1505.676</v>
      </c>
      <c r="Q566" s="5">
        <f t="shared" si="17"/>
        <v>1515.27167717815</v>
      </c>
      <c r="T566" s="26"/>
      <c r="U566" s="26">
        <v>266.4941667</v>
      </c>
      <c r="V566" s="26"/>
      <c r="W566" s="26">
        <f t="shared" si="44"/>
        <v>355482.390026481</v>
      </c>
      <c r="X566" s="26">
        <f t="shared" si="45"/>
        <v>355760.607</v>
      </c>
      <c r="Y566" s="26"/>
    </row>
    <row r="567" ht="14.25" customHeight="1" spans="1:25">
      <c r="A567" s="10" t="s">
        <v>593</v>
      </c>
      <c r="B567">
        <v>1.46</v>
      </c>
      <c r="C567">
        <v>1.23</v>
      </c>
      <c r="D567">
        <v>1</v>
      </c>
      <c r="E567">
        <v>266</v>
      </c>
      <c r="F567">
        <v>1</v>
      </c>
      <c r="G567">
        <v>40</v>
      </c>
      <c r="H567" s="5">
        <f t="shared" si="0"/>
        <v>266.027777777778</v>
      </c>
      <c r="I567">
        <v>79</v>
      </c>
      <c r="J567">
        <v>43</v>
      </c>
      <c r="K567">
        <v>45</v>
      </c>
      <c r="L567" s="5">
        <f t="shared" si="1"/>
        <v>79.7291666666667</v>
      </c>
      <c r="M567" s="5">
        <f t="shared" si="28"/>
        <v>44.5375970627303</v>
      </c>
      <c r="N567" s="5">
        <f t="shared" si="29"/>
        <v>8.07043448418186</v>
      </c>
      <c r="O567">
        <v>1.52</v>
      </c>
      <c r="P567">
        <v>1505.676</v>
      </c>
      <c r="Q567" s="5">
        <f t="shared" si="17"/>
        <v>1514.03643448418</v>
      </c>
      <c r="T567" s="26"/>
      <c r="U567" s="26">
        <v>267.4941667</v>
      </c>
      <c r="V567" s="26"/>
      <c r="W567" s="26">
        <f t="shared" si="44"/>
        <v>355494.833604494</v>
      </c>
      <c r="X567" s="26">
        <f t="shared" si="45"/>
        <v>355760.607</v>
      </c>
      <c r="Y567" s="26"/>
    </row>
    <row r="568" ht="14.25" customHeight="1" spans="1:25">
      <c r="A568" s="10" t="s">
        <v>594</v>
      </c>
      <c r="B568">
        <v>1.472</v>
      </c>
      <c r="C568">
        <v>1.236</v>
      </c>
      <c r="D568">
        <v>1</v>
      </c>
      <c r="E568">
        <v>265</v>
      </c>
      <c r="F568">
        <v>47</v>
      </c>
      <c r="G568">
        <v>55</v>
      </c>
      <c r="H568" s="5">
        <f t="shared" si="0"/>
        <v>265.798611111111</v>
      </c>
      <c r="I568">
        <v>78</v>
      </c>
      <c r="J568">
        <v>58</v>
      </c>
      <c r="K568">
        <v>35</v>
      </c>
      <c r="L568" s="5">
        <f t="shared" si="1"/>
        <v>78.9763888888889</v>
      </c>
      <c r="M568" s="5">
        <f t="shared" si="28"/>
        <v>45.474245166988</v>
      </c>
      <c r="N568" s="5">
        <f t="shared" si="29"/>
        <v>8.85874699799599</v>
      </c>
      <c r="O568">
        <v>1.52</v>
      </c>
      <c r="P568">
        <v>1505.676</v>
      </c>
      <c r="Q568" s="5">
        <f t="shared" si="17"/>
        <v>1514.818746998</v>
      </c>
      <c r="T568" s="26"/>
      <c r="U568" s="26">
        <v>268.4941667</v>
      </c>
      <c r="V568" s="26"/>
      <c r="W568" s="26">
        <f t="shared" si="44"/>
        <v>355494.900181183</v>
      </c>
      <c r="X568" s="26">
        <f t="shared" si="45"/>
        <v>355760.607</v>
      </c>
      <c r="Y568" s="26"/>
    </row>
    <row r="569" ht="14.25" customHeight="1" spans="1:25">
      <c r="A569" s="10" t="s">
        <v>595</v>
      </c>
      <c r="B569">
        <v>1.692</v>
      </c>
      <c r="C569">
        <v>1.446</v>
      </c>
      <c r="D569">
        <v>1.2</v>
      </c>
      <c r="E569">
        <v>266</v>
      </c>
      <c r="F569">
        <v>1</v>
      </c>
      <c r="G569">
        <v>31</v>
      </c>
      <c r="H569" s="5">
        <f t="shared" si="0"/>
        <v>266.025277777778</v>
      </c>
      <c r="I569">
        <v>77</v>
      </c>
      <c r="J569">
        <v>59</v>
      </c>
      <c r="K569">
        <v>56</v>
      </c>
      <c r="L569" s="5">
        <f t="shared" si="1"/>
        <v>77.9988888888889</v>
      </c>
      <c r="M569" s="5">
        <f t="shared" si="28"/>
        <v>47.0728301682543</v>
      </c>
      <c r="N569" s="5">
        <f t="shared" si="29"/>
        <v>10.0065930380323</v>
      </c>
      <c r="O569">
        <v>1.52</v>
      </c>
      <c r="P569">
        <v>1505.676</v>
      </c>
      <c r="Q569" s="5">
        <f t="shared" si="17"/>
        <v>1515.75659303803</v>
      </c>
      <c r="T569" s="26"/>
      <c r="U569" s="26">
        <v>269.4941667</v>
      </c>
      <c r="V569" s="26"/>
      <c r="W569" s="26">
        <f t="shared" si="44"/>
        <v>355494.592089377</v>
      </c>
      <c r="X569" s="26">
        <f t="shared" si="45"/>
        <v>355760.607</v>
      </c>
      <c r="Y569" s="26"/>
    </row>
    <row r="570" ht="14.25" customHeight="1" spans="1:25">
      <c r="A570" s="10" t="s">
        <v>596</v>
      </c>
      <c r="B570">
        <v>1.504</v>
      </c>
      <c r="C570">
        <v>1.252</v>
      </c>
      <c r="D570">
        <v>1</v>
      </c>
      <c r="E570">
        <v>266</v>
      </c>
      <c r="F570">
        <v>12</v>
      </c>
      <c r="G570">
        <v>15</v>
      </c>
      <c r="H570" s="5">
        <f t="shared" si="0"/>
        <v>266.204166666667</v>
      </c>
      <c r="I570">
        <v>77</v>
      </c>
      <c r="J570">
        <v>35</v>
      </c>
      <c r="K570">
        <v>54</v>
      </c>
      <c r="L570" s="5">
        <f t="shared" si="1"/>
        <v>77.5983333333333</v>
      </c>
      <c r="M570" s="5">
        <f t="shared" si="28"/>
        <v>48.0753774714452</v>
      </c>
      <c r="N570" s="5">
        <f t="shared" si="29"/>
        <v>10.5715233310483</v>
      </c>
      <c r="O570">
        <v>1.52</v>
      </c>
      <c r="P570">
        <v>1505.676</v>
      </c>
      <c r="Q570" s="5">
        <f t="shared" si="17"/>
        <v>1516.51552333105</v>
      </c>
      <c r="T570" s="26"/>
      <c r="U570" s="26">
        <v>270.4941667</v>
      </c>
      <c r="V570" s="26"/>
      <c r="W570" s="26">
        <f t="shared" si="44"/>
        <v>355494.412734444</v>
      </c>
      <c r="X570" s="26">
        <f t="shared" si="45"/>
        <v>355760.607</v>
      </c>
      <c r="Y570" s="26"/>
    </row>
    <row r="571" ht="14.25" customHeight="1" spans="1:25">
      <c r="A571" s="10" t="s">
        <v>597</v>
      </c>
      <c r="B571">
        <v>1.52</v>
      </c>
      <c r="C571">
        <v>1.26</v>
      </c>
      <c r="D571">
        <v>1</v>
      </c>
      <c r="E571">
        <v>266</v>
      </c>
      <c r="F571">
        <v>10</v>
      </c>
      <c r="G571">
        <v>52</v>
      </c>
      <c r="H571" s="5">
        <f t="shared" si="0"/>
        <v>266.181111111111</v>
      </c>
      <c r="I571">
        <v>77</v>
      </c>
      <c r="J571">
        <v>1</v>
      </c>
      <c r="K571">
        <v>17</v>
      </c>
      <c r="L571" s="5">
        <f t="shared" si="1"/>
        <v>77.0213888888889</v>
      </c>
      <c r="M571" s="5">
        <f t="shared" si="28"/>
        <v>49.3771483240914</v>
      </c>
      <c r="N571" s="5">
        <f t="shared" si="29"/>
        <v>11.3801993055232</v>
      </c>
      <c r="O571">
        <v>1.52</v>
      </c>
      <c r="P571">
        <v>1505.676</v>
      </c>
      <c r="Q571" s="5">
        <f t="shared" si="17"/>
        <v>1517.31619930552</v>
      </c>
      <c r="T571" s="26"/>
      <c r="U571" s="26">
        <v>271.4941667</v>
      </c>
      <c r="V571" s="26"/>
      <c r="W571" s="26">
        <f t="shared" si="44"/>
        <v>355494.516394496</v>
      </c>
      <c r="X571" s="26">
        <f t="shared" si="45"/>
        <v>355760.607</v>
      </c>
      <c r="Y571" s="26"/>
    </row>
    <row r="572" ht="14.25" customHeight="1" spans="1:25">
      <c r="A572" s="10" t="s">
        <v>598</v>
      </c>
      <c r="B572">
        <v>1.54</v>
      </c>
      <c r="C572">
        <v>1.27</v>
      </c>
      <c r="D572">
        <v>1</v>
      </c>
      <c r="E572">
        <v>265</v>
      </c>
      <c r="F572">
        <v>46</v>
      </c>
      <c r="G572">
        <v>19</v>
      </c>
      <c r="H572" s="5">
        <f t="shared" si="0"/>
        <v>265.771944444444</v>
      </c>
      <c r="I572">
        <v>76</v>
      </c>
      <c r="J572">
        <v>45</v>
      </c>
      <c r="K572">
        <v>35</v>
      </c>
      <c r="L572" s="5">
        <f t="shared" si="1"/>
        <v>76.7597222222222</v>
      </c>
      <c r="M572" s="5">
        <f t="shared" si="28"/>
        <v>51.1673148727169</v>
      </c>
      <c r="N572" s="5">
        <f t="shared" si="29"/>
        <v>12.0391399959862</v>
      </c>
      <c r="O572">
        <v>1.52</v>
      </c>
      <c r="P572">
        <v>1505.676</v>
      </c>
      <c r="Q572" s="5">
        <f t="shared" si="17"/>
        <v>1517.96513999599</v>
      </c>
      <c r="T572" s="26"/>
      <c r="U572" s="26">
        <v>272.4941667</v>
      </c>
      <c r="V572" s="26"/>
      <c r="W572" s="26">
        <f t="shared" si="44"/>
        <v>355495.086832672</v>
      </c>
      <c r="X572" s="26">
        <f t="shared" si="45"/>
        <v>355760.607</v>
      </c>
      <c r="Y572" s="26"/>
    </row>
    <row r="573" ht="14.25" customHeight="1" spans="1:25">
      <c r="A573" s="10" t="s">
        <v>599</v>
      </c>
      <c r="B573">
        <v>1.262</v>
      </c>
      <c r="C573">
        <v>1.131</v>
      </c>
      <c r="D573">
        <v>1</v>
      </c>
      <c r="E573">
        <v>252</v>
      </c>
      <c r="F573">
        <v>37</v>
      </c>
      <c r="G573">
        <v>33</v>
      </c>
      <c r="H573" s="5">
        <f t="shared" si="0"/>
        <v>252.625833333333</v>
      </c>
      <c r="I573">
        <v>90</v>
      </c>
      <c r="J573">
        <v>57</v>
      </c>
      <c r="K573">
        <v>6</v>
      </c>
      <c r="L573" s="5">
        <f t="shared" si="1"/>
        <v>90.9516666666667</v>
      </c>
      <c r="M573" s="5">
        <f t="shared" si="28"/>
        <v>26.1927725382197</v>
      </c>
      <c r="N573" s="5">
        <f t="shared" si="29"/>
        <v>-0.435094544255604</v>
      </c>
      <c r="O573">
        <v>1.52</v>
      </c>
      <c r="P573">
        <v>1505.676</v>
      </c>
      <c r="Q573" s="5">
        <f t="shared" si="17"/>
        <v>1505.62990545574</v>
      </c>
      <c r="T573" s="26"/>
      <c r="U573" s="26">
        <v>273.4941667</v>
      </c>
      <c r="V573" s="26"/>
      <c r="W573" s="26">
        <f t="shared" ref="W573:W603" si="46">$S$444+(H573*SIN(U573*3.141592654/180))</f>
        <v>355508.450795923</v>
      </c>
      <c r="X573" s="26">
        <f t="shared" ref="X573:X603" si="47">$S$444+(I573*SIN(V573*3.141592654/180))</f>
        <v>355760.607</v>
      </c>
      <c r="Y573" s="26"/>
    </row>
    <row r="574" ht="14.25" customHeight="1" spans="1:25">
      <c r="A574" s="10" t="s">
        <v>600</v>
      </c>
      <c r="B574">
        <v>1.3</v>
      </c>
      <c r="C574">
        <v>1.15</v>
      </c>
      <c r="D574">
        <v>1</v>
      </c>
      <c r="E574">
        <v>234</v>
      </c>
      <c r="F574">
        <v>1</v>
      </c>
      <c r="G574">
        <v>2</v>
      </c>
      <c r="H574" s="5">
        <f t="shared" si="0"/>
        <v>234.017222222222</v>
      </c>
      <c r="I574">
        <v>94</v>
      </c>
      <c r="J574">
        <v>20</v>
      </c>
      <c r="K574">
        <v>46</v>
      </c>
      <c r="L574" s="5">
        <f t="shared" si="1"/>
        <v>94.3461111111111</v>
      </c>
      <c r="M574" s="5">
        <f t="shared" si="28"/>
        <v>29.8277161654368</v>
      </c>
      <c r="N574" s="5">
        <f t="shared" si="29"/>
        <v>-2.26689949429723</v>
      </c>
      <c r="O574">
        <v>1.52</v>
      </c>
      <c r="P574">
        <v>1505.676</v>
      </c>
      <c r="Q574" s="5">
        <f t="shared" si="17"/>
        <v>1503.7791005057</v>
      </c>
      <c r="T574" s="26"/>
      <c r="U574" s="26">
        <v>274.4941667</v>
      </c>
      <c r="V574" s="26"/>
      <c r="W574" s="26">
        <f t="shared" si="46"/>
        <v>355527.309306679</v>
      </c>
      <c r="X574" s="26">
        <f t="shared" si="47"/>
        <v>355760.607</v>
      </c>
      <c r="Y574" s="26"/>
    </row>
    <row r="575" ht="14.25" customHeight="1" spans="1:25">
      <c r="A575" s="10" t="s">
        <v>601</v>
      </c>
      <c r="B575">
        <v>1.27</v>
      </c>
      <c r="C575">
        <v>1.135</v>
      </c>
      <c r="D575">
        <v>1</v>
      </c>
      <c r="E575">
        <v>252</v>
      </c>
      <c r="F575">
        <v>37</v>
      </c>
      <c r="G575">
        <v>16</v>
      </c>
      <c r="H575" s="5">
        <f t="shared" si="0"/>
        <v>252.621111111111</v>
      </c>
      <c r="I575">
        <v>90</v>
      </c>
      <c r="J575">
        <v>2</v>
      </c>
      <c r="K575">
        <v>57</v>
      </c>
      <c r="L575" s="5">
        <f t="shared" si="1"/>
        <v>90.0491666666667</v>
      </c>
      <c r="M575" s="5">
        <f t="shared" si="28"/>
        <v>26.9999801180067</v>
      </c>
      <c r="N575" s="5">
        <f t="shared" si="29"/>
        <v>-0.0231692344461309</v>
      </c>
      <c r="O575">
        <v>1.52</v>
      </c>
      <c r="P575">
        <v>1505.676</v>
      </c>
      <c r="Q575" s="5">
        <f t="shared" si="17"/>
        <v>1506.03783076555</v>
      </c>
      <c r="T575" s="26"/>
      <c r="U575" s="26">
        <v>275.4941667</v>
      </c>
      <c r="V575" s="26"/>
      <c r="W575" s="26">
        <f t="shared" si="46"/>
        <v>355509.146442593</v>
      </c>
      <c r="X575" s="26">
        <f t="shared" si="47"/>
        <v>355760.607</v>
      </c>
      <c r="Y575" s="26"/>
    </row>
    <row r="576" ht="14.25" customHeight="1" spans="1:25">
      <c r="A576" s="10" t="s">
        <v>602</v>
      </c>
      <c r="B576">
        <v>1.306</v>
      </c>
      <c r="C576">
        <v>1.153</v>
      </c>
      <c r="D576">
        <v>1</v>
      </c>
      <c r="E576">
        <v>234</v>
      </c>
      <c r="F576">
        <v>47</v>
      </c>
      <c r="G576">
        <v>11</v>
      </c>
      <c r="H576" s="5">
        <f t="shared" si="0"/>
        <v>234.786388888889</v>
      </c>
      <c r="I576">
        <v>93</v>
      </c>
      <c r="J576">
        <v>13</v>
      </c>
      <c r="K576">
        <v>54</v>
      </c>
      <c r="L576" s="5">
        <f t="shared" si="1"/>
        <v>93.2316666666667</v>
      </c>
      <c r="M576" s="5">
        <f t="shared" si="28"/>
        <v>30.5027546852245</v>
      </c>
      <c r="N576" s="5">
        <f t="shared" si="29"/>
        <v>-1.72228045941566</v>
      </c>
      <c r="O576">
        <v>1.52</v>
      </c>
      <c r="P576">
        <v>1505.676</v>
      </c>
      <c r="Q576" s="5">
        <f t="shared" si="17"/>
        <v>1504.32071954058</v>
      </c>
      <c r="T576" s="26"/>
      <c r="U576" s="26">
        <v>276.4941667</v>
      </c>
      <c r="V576" s="26"/>
      <c r="W576" s="26">
        <f t="shared" si="46"/>
        <v>355527.327147157</v>
      </c>
      <c r="X576" s="26">
        <f t="shared" si="47"/>
        <v>355760.607</v>
      </c>
      <c r="Y576" s="26"/>
    </row>
    <row r="577" ht="14.25" customHeight="1" spans="1:25">
      <c r="A577" s="10" t="s">
        <v>603</v>
      </c>
      <c r="B577">
        <v>1.284</v>
      </c>
      <c r="C577">
        <v>1.142</v>
      </c>
      <c r="D577">
        <v>1</v>
      </c>
      <c r="E577">
        <v>252</v>
      </c>
      <c r="F577">
        <v>47</v>
      </c>
      <c r="G577">
        <v>13</v>
      </c>
      <c r="H577" s="5">
        <f t="shared" si="0"/>
        <v>252.786944444444</v>
      </c>
      <c r="I577">
        <v>88</v>
      </c>
      <c r="J577">
        <v>45</v>
      </c>
      <c r="K577">
        <v>8</v>
      </c>
      <c r="L577" s="5">
        <f t="shared" si="1"/>
        <v>88.7522222222222</v>
      </c>
      <c r="M577" s="5">
        <f t="shared" si="28"/>
        <v>28.3865327503919</v>
      </c>
      <c r="N577" s="5">
        <f t="shared" si="29"/>
        <v>0.618294850422675</v>
      </c>
      <c r="O577">
        <v>1.52</v>
      </c>
      <c r="P577">
        <v>1505.676</v>
      </c>
      <c r="Q577" s="5">
        <f t="shared" si="17"/>
        <v>1506.67229485042</v>
      </c>
      <c r="T577" s="26"/>
      <c r="U577" s="26">
        <v>277.4941667</v>
      </c>
      <c r="V577" s="26"/>
      <c r="W577" s="26">
        <f t="shared" si="46"/>
        <v>355509.979324965</v>
      </c>
      <c r="X577" s="26">
        <f t="shared" si="47"/>
        <v>355760.607</v>
      </c>
      <c r="Y577" s="26"/>
    </row>
    <row r="578" ht="14.25" customHeight="1" spans="1:25">
      <c r="A578" s="10" t="s">
        <v>604</v>
      </c>
      <c r="B578">
        <v>1.31</v>
      </c>
      <c r="C578">
        <v>1.155</v>
      </c>
      <c r="D578">
        <v>1</v>
      </c>
      <c r="E578">
        <v>235</v>
      </c>
      <c r="F578">
        <v>54</v>
      </c>
      <c r="G578">
        <v>40</v>
      </c>
      <c r="H578" s="5">
        <f t="shared" si="0"/>
        <v>235.911111111111</v>
      </c>
      <c r="I578">
        <v>92</v>
      </c>
      <c r="J578">
        <v>8</v>
      </c>
      <c r="K578">
        <v>39</v>
      </c>
      <c r="L578" s="5">
        <f t="shared" si="1"/>
        <v>92.1441666666667</v>
      </c>
      <c r="M578" s="5">
        <f t="shared" si="28"/>
        <v>30.9566058923518</v>
      </c>
      <c r="N578" s="5">
        <f t="shared" si="29"/>
        <v>-1.15902298877738</v>
      </c>
      <c r="O578">
        <v>1.52</v>
      </c>
      <c r="P578">
        <v>1505.676</v>
      </c>
      <c r="Q578" s="5">
        <f t="shared" si="17"/>
        <v>1504.88197701122</v>
      </c>
      <c r="T578" s="26"/>
      <c r="U578" s="26">
        <v>278.4941667</v>
      </c>
      <c r="V578" s="26"/>
      <c r="W578" s="26">
        <f t="shared" si="46"/>
        <v>355527.283619886</v>
      </c>
      <c r="X578" s="26">
        <f t="shared" si="47"/>
        <v>355760.607</v>
      </c>
      <c r="Y578" s="26"/>
    </row>
    <row r="579" ht="14.25" customHeight="1" spans="1:25">
      <c r="A579" s="10" t="s">
        <v>605</v>
      </c>
      <c r="B579">
        <v>1.3</v>
      </c>
      <c r="C579">
        <v>1.15</v>
      </c>
      <c r="D579">
        <v>1</v>
      </c>
      <c r="E579">
        <v>251</v>
      </c>
      <c r="F579">
        <v>57</v>
      </c>
      <c r="G579">
        <v>9</v>
      </c>
      <c r="H579" s="5">
        <f t="shared" si="0"/>
        <v>251.9525</v>
      </c>
      <c r="I579">
        <v>88</v>
      </c>
      <c r="J579">
        <v>1</v>
      </c>
      <c r="K579">
        <v>0</v>
      </c>
      <c r="L579" s="5">
        <f t="shared" si="1"/>
        <v>88.0166666666667</v>
      </c>
      <c r="M579" s="5">
        <f t="shared" si="28"/>
        <v>29.9640669616389</v>
      </c>
      <c r="N579" s="5">
        <f t="shared" si="29"/>
        <v>1.03764154098937</v>
      </c>
      <c r="O579">
        <v>1.52</v>
      </c>
      <c r="P579">
        <v>1505.676</v>
      </c>
      <c r="Q579" s="5">
        <f t="shared" si="17"/>
        <v>1507.08364154099</v>
      </c>
      <c r="T579" s="26"/>
      <c r="U579" s="26">
        <v>279.4941667</v>
      </c>
      <c r="V579" s="26"/>
      <c r="W579" s="26">
        <f t="shared" si="46"/>
        <v>355512.105644598</v>
      </c>
      <c r="X579" s="26">
        <f t="shared" si="47"/>
        <v>355760.607</v>
      </c>
      <c r="Y579" s="26"/>
    </row>
    <row r="580" ht="14.25" customHeight="1" spans="1:25">
      <c r="A580" s="10" t="s">
        <v>606</v>
      </c>
      <c r="B580">
        <v>0.831</v>
      </c>
      <c r="C580">
        <v>0.664</v>
      </c>
      <c r="D580">
        <v>0.5</v>
      </c>
      <c r="E580">
        <v>238</v>
      </c>
      <c r="F580">
        <v>47</v>
      </c>
      <c r="G580">
        <v>52</v>
      </c>
      <c r="H580" s="5">
        <f t="shared" si="0"/>
        <v>238.797777777778</v>
      </c>
      <c r="I580">
        <v>91</v>
      </c>
      <c r="J580">
        <v>19</v>
      </c>
      <c r="K580">
        <v>57</v>
      </c>
      <c r="L580" s="5">
        <f t="shared" si="1"/>
        <v>91.3325</v>
      </c>
      <c r="M580" s="5">
        <f t="shared" si="28"/>
        <v>33.0821005838733</v>
      </c>
      <c r="N580" s="5">
        <f t="shared" si="29"/>
        <v>-0.769513017885902</v>
      </c>
      <c r="O580">
        <v>1.52</v>
      </c>
      <c r="P580">
        <v>1505.676</v>
      </c>
      <c r="Q580" s="5">
        <f t="shared" si="17"/>
        <v>1505.76248698211</v>
      </c>
      <c r="T580" s="26"/>
      <c r="U580" s="26">
        <v>280.4941667</v>
      </c>
      <c r="V580" s="26"/>
      <c r="W580" s="26">
        <f t="shared" si="46"/>
        <v>355525.803483806</v>
      </c>
      <c r="X580" s="26">
        <f t="shared" si="47"/>
        <v>355760.607</v>
      </c>
      <c r="Y580" s="26"/>
    </row>
    <row r="581" ht="14.25" customHeight="1" spans="1:25">
      <c r="A581" s="10" t="s">
        <v>607</v>
      </c>
      <c r="B581">
        <v>1.315</v>
      </c>
      <c r="C581">
        <v>1.155</v>
      </c>
      <c r="D581">
        <v>1</v>
      </c>
      <c r="E581">
        <v>251</v>
      </c>
      <c r="F581">
        <v>14</v>
      </c>
      <c r="G581">
        <v>50</v>
      </c>
      <c r="H581" s="5">
        <f t="shared" si="0"/>
        <v>251.247222222222</v>
      </c>
      <c r="I581">
        <v>87</v>
      </c>
      <c r="J581">
        <v>34</v>
      </c>
      <c r="K581">
        <v>11</v>
      </c>
      <c r="L581" s="5">
        <f t="shared" si="1"/>
        <v>87.5697222222222</v>
      </c>
      <c r="M581" s="5">
        <f t="shared" si="28"/>
        <v>31.4433608598369</v>
      </c>
      <c r="N581" s="5">
        <f t="shared" si="29"/>
        <v>1.33451299092133</v>
      </c>
      <c r="O581">
        <v>1.52</v>
      </c>
      <c r="P581">
        <v>1505.676</v>
      </c>
      <c r="Q581" s="5">
        <f t="shared" si="17"/>
        <v>1507.37551299092</v>
      </c>
      <c r="T581" s="26"/>
      <c r="U581" s="26">
        <v>281.4941667</v>
      </c>
      <c r="V581" s="26"/>
      <c r="W581" s="26">
        <f t="shared" si="46"/>
        <v>355514.398541543</v>
      </c>
      <c r="X581" s="26">
        <f t="shared" si="47"/>
        <v>355760.607</v>
      </c>
      <c r="Y581" s="26"/>
    </row>
    <row r="582" ht="14.25" customHeight="1" spans="1:25">
      <c r="A582" s="10" t="s">
        <v>608</v>
      </c>
      <c r="B582">
        <v>1.04</v>
      </c>
      <c r="C582">
        <v>0.87</v>
      </c>
      <c r="D582">
        <v>0.7</v>
      </c>
      <c r="E582">
        <v>239</v>
      </c>
      <c r="F582">
        <v>0</v>
      </c>
      <c r="G582">
        <v>8</v>
      </c>
      <c r="H582" s="5">
        <f t="shared" si="0"/>
        <v>239.002222222222</v>
      </c>
      <c r="I582">
        <v>90</v>
      </c>
      <c r="J582">
        <v>9</v>
      </c>
      <c r="K582">
        <v>42</v>
      </c>
      <c r="L582" s="5">
        <f t="shared" si="1"/>
        <v>90.1616666666667</v>
      </c>
      <c r="M582" s="5">
        <f t="shared" si="28"/>
        <v>33.9997293092176</v>
      </c>
      <c r="N582" s="5">
        <f t="shared" si="29"/>
        <v>-0.0959344220271917</v>
      </c>
      <c r="O582">
        <v>1.52</v>
      </c>
      <c r="P582">
        <v>1505.676</v>
      </c>
      <c r="Q582" s="5">
        <f t="shared" si="17"/>
        <v>1506.23006557797</v>
      </c>
      <c r="T582" s="26"/>
      <c r="U582" s="26">
        <v>282.4941667</v>
      </c>
      <c r="V582" s="26"/>
      <c r="W582" s="26">
        <f t="shared" si="46"/>
        <v>355527.264819394</v>
      </c>
      <c r="X582" s="26">
        <f t="shared" si="47"/>
        <v>355760.607</v>
      </c>
      <c r="Y582" s="26"/>
    </row>
    <row r="583" ht="14.25" customHeight="1" spans="1:25">
      <c r="A583" s="10" t="s">
        <v>609</v>
      </c>
      <c r="B583">
        <v>1.396</v>
      </c>
      <c r="C583">
        <v>1.198</v>
      </c>
      <c r="D583">
        <v>1</v>
      </c>
      <c r="E583">
        <v>253</v>
      </c>
      <c r="F583">
        <v>44</v>
      </c>
      <c r="G583">
        <v>16</v>
      </c>
      <c r="H583" s="5">
        <f t="shared" si="0"/>
        <v>253.737777777778</v>
      </c>
      <c r="I583">
        <v>86</v>
      </c>
      <c r="J583">
        <v>42</v>
      </c>
      <c r="K583">
        <v>29</v>
      </c>
      <c r="L583" s="5">
        <f t="shared" si="1"/>
        <v>86.7080555555556</v>
      </c>
      <c r="M583" s="5">
        <f t="shared" si="28"/>
        <v>39.4694199054001</v>
      </c>
      <c r="N583" s="5">
        <f t="shared" si="29"/>
        <v>2.27022478733935</v>
      </c>
      <c r="O583">
        <v>1.52</v>
      </c>
      <c r="P583">
        <v>1505.676</v>
      </c>
      <c r="Q583" s="5">
        <f t="shared" si="17"/>
        <v>1508.26822478734</v>
      </c>
      <c r="T583" s="26"/>
      <c r="U583" s="26">
        <v>283.4941667</v>
      </c>
      <c r="V583" s="26"/>
      <c r="W583" s="26">
        <f t="shared" si="46"/>
        <v>355513.873987916</v>
      </c>
      <c r="X583" s="26">
        <f t="shared" si="47"/>
        <v>355760.607</v>
      </c>
      <c r="Y583" s="26"/>
    </row>
    <row r="584" ht="14.25" customHeight="1" spans="1:25">
      <c r="A584" s="10" t="s">
        <v>610</v>
      </c>
      <c r="B584">
        <v>0.812</v>
      </c>
      <c r="C584">
        <v>0.61</v>
      </c>
      <c r="D584">
        <v>0.4</v>
      </c>
      <c r="E584">
        <v>249</v>
      </c>
      <c r="F584">
        <v>21</v>
      </c>
      <c r="G584">
        <v>51</v>
      </c>
      <c r="H584" s="5">
        <f t="shared" si="0"/>
        <v>249.364166666667</v>
      </c>
      <c r="I584">
        <v>88</v>
      </c>
      <c r="J584">
        <v>4</v>
      </c>
      <c r="K584">
        <v>28</v>
      </c>
      <c r="L584" s="5">
        <f t="shared" si="1"/>
        <v>88.0744444444444</v>
      </c>
      <c r="M584" s="5">
        <f t="shared" si="28"/>
        <v>41.1534841943786</v>
      </c>
      <c r="N584" s="5">
        <f t="shared" si="29"/>
        <v>1.38357777932104</v>
      </c>
      <c r="O584">
        <v>1.52</v>
      </c>
      <c r="P584">
        <v>1505.676</v>
      </c>
      <c r="Q584" s="5">
        <f t="shared" si="17"/>
        <v>1507.96957777932</v>
      </c>
      <c r="T584" s="26"/>
      <c r="U584" s="26">
        <v>284.4941667</v>
      </c>
      <c r="V584" s="26"/>
      <c r="W584" s="26">
        <f t="shared" si="46"/>
        <v>355519.179315131</v>
      </c>
      <c r="X584" s="26">
        <f t="shared" si="47"/>
        <v>355760.607</v>
      </c>
      <c r="Y584" s="26"/>
    </row>
    <row r="585" ht="14.25" customHeight="1" spans="1:25">
      <c r="A585" s="10" t="s">
        <v>611</v>
      </c>
      <c r="B585">
        <v>1.406</v>
      </c>
      <c r="C585">
        <v>1.203</v>
      </c>
      <c r="D585">
        <v>1</v>
      </c>
      <c r="E585">
        <v>254</v>
      </c>
      <c r="F585">
        <v>26</v>
      </c>
      <c r="G585">
        <v>51</v>
      </c>
      <c r="H585" s="5">
        <f t="shared" si="0"/>
        <v>254.4475</v>
      </c>
      <c r="I585">
        <v>85</v>
      </c>
      <c r="J585">
        <v>50</v>
      </c>
      <c r="K585">
        <v>39</v>
      </c>
      <c r="L585" s="5">
        <f t="shared" si="1"/>
        <v>85.8441666666667</v>
      </c>
      <c r="M585" s="5">
        <f t="shared" si="28"/>
        <v>40.3867764022221</v>
      </c>
      <c r="N585" s="5">
        <f t="shared" si="29"/>
        <v>2.93452104561064</v>
      </c>
      <c r="O585">
        <v>1.52</v>
      </c>
      <c r="P585">
        <v>1505.676</v>
      </c>
      <c r="Q585" s="5">
        <f t="shared" si="17"/>
        <v>1508.92752104561</v>
      </c>
      <c r="T585" s="26"/>
      <c r="U585" s="26">
        <v>285.4941667</v>
      </c>
      <c r="V585" s="26"/>
      <c r="W585" s="26">
        <f t="shared" si="46"/>
        <v>355515.406718662</v>
      </c>
      <c r="X585" s="26">
        <f t="shared" si="47"/>
        <v>355760.607</v>
      </c>
      <c r="Y585" s="26"/>
    </row>
    <row r="586" ht="14.25" customHeight="1" spans="1:25">
      <c r="A586" s="10" t="s">
        <v>612</v>
      </c>
      <c r="B586">
        <v>1.43</v>
      </c>
      <c r="C586">
        <v>1.215</v>
      </c>
      <c r="D586">
        <v>1</v>
      </c>
      <c r="E586">
        <v>249</v>
      </c>
      <c r="F586">
        <v>49</v>
      </c>
      <c r="G586">
        <v>38</v>
      </c>
      <c r="H586" s="5">
        <f t="shared" si="0"/>
        <v>249.827222222222</v>
      </c>
      <c r="I586">
        <v>86</v>
      </c>
      <c r="J586">
        <v>17</v>
      </c>
      <c r="K586">
        <v>40</v>
      </c>
      <c r="L586" s="5">
        <f t="shared" si="1"/>
        <v>86.2944444444444</v>
      </c>
      <c r="M586" s="5">
        <f t="shared" si="28"/>
        <v>42.8203925902721</v>
      </c>
      <c r="N586" s="5">
        <f t="shared" si="29"/>
        <v>2.77323994574418</v>
      </c>
      <c r="O586">
        <v>1.52</v>
      </c>
      <c r="P586">
        <v>1505.676</v>
      </c>
      <c r="Q586" s="5">
        <f t="shared" si="17"/>
        <v>1508.75423994574</v>
      </c>
      <c r="T586" s="26"/>
      <c r="U586" s="26">
        <v>286.4941667</v>
      </c>
      <c r="V586" s="26"/>
      <c r="W586" s="26">
        <f t="shared" si="46"/>
        <v>355521.060506389</v>
      </c>
      <c r="X586" s="26">
        <f t="shared" si="47"/>
        <v>355760.607</v>
      </c>
      <c r="Y586" s="26"/>
    </row>
    <row r="587" ht="14.25" customHeight="1" spans="1:25">
      <c r="A587" s="10" t="s">
        <v>613</v>
      </c>
      <c r="B587">
        <v>1.426</v>
      </c>
      <c r="C587">
        <v>1.213</v>
      </c>
      <c r="D587">
        <v>1</v>
      </c>
      <c r="E587">
        <v>255</v>
      </c>
      <c r="F587">
        <v>16</v>
      </c>
      <c r="G587">
        <v>20</v>
      </c>
      <c r="H587" s="5">
        <f t="shared" si="0"/>
        <v>255.272222222222</v>
      </c>
      <c r="I587">
        <v>84</v>
      </c>
      <c r="J587">
        <v>24</v>
      </c>
      <c r="K587">
        <v>25</v>
      </c>
      <c r="L587" s="5">
        <f t="shared" si="1"/>
        <v>84.4069444444444</v>
      </c>
      <c r="M587" s="5">
        <f t="shared" si="28"/>
        <v>42.195347078605</v>
      </c>
      <c r="N587" s="5">
        <f t="shared" si="29"/>
        <v>4.13212662737149</v>
      </c>
      <c r="O587">
        <v>1.52</v>
      </c>
      <c r="P587">
        <v>1505.676</v>
      </c>
      <c r="Q587" s="5">
        <f t="shared" si="17"/>
        <v>1510.11512662737</v>
      </c>
      <c r="T587" s="26"/>
      <c r="U587" s="26">
        <v>287.4941667</v>
      </c>
      <c r="V587" s="26"/>
      <c r="W587" s="26">
        <f t="shared" si="46"/>
        <v>355517.141740779</v>
      </c>
      <c r="X587" s="26">
        <f t="shared" si="47"/>
        <v>355760.607</v>
      </c>
      <c r="Y587" s="26"/>
    </row>
    <row r="588" ht="14.25" customHeight="1" spans="1:25">
      <c r="A588" s="10" t="s">
        <v>614</v>
      </c>
      <c r="B588">
        <v>1.142</v>
      </c>
      <c r="C588">
        <v>0.921</v>
      </c>
      <c r="D588">
        <v>0.7</v>
      </c>
      <c r="E588">
        <v>250</v>
      </c>
      <c r="F588">
        <v>57</v>
      </c>
      <c r="G588">
        <v>7</v>
      </c>
      <c r="H588" s="5">
        <f t="shared" si="0"/>
        <v>250.951944444444</v>
      </c>
      <c r="I588">
        <v>85</v>
      </c>
      <c r="J588">
        <v>38</v>
      </c>
      <c r="K588">
        <v>45</v>
      </c>
      <c r="L588" s="5">
        <f t="shared" si="1"/>
        <v>85.6458333333333</v>
      </c>
      <c r="M588" s="5">
        <f t="shared" si="28"/>
        <v>43.9452284675327</v>
      </c>
      <c r="N588" s="5">
        <f t="shared" si="29"/>
        <v>3.3460414225318</v>
      </c>
      <c r="O588">
        <v>1.52</v>
      </c>
      <c r="P588">
        <v>1505.676</v>
      </c>
      <c r="Q588" s="5">
        <f t="shared" si="17"/>
        <v>1509.62104142253</v>
      </c>
      <c r="T588" s="26"/>
      <c r="U588" s="26">
        <v>288.4941667</v>
      </c>
      <c r="V588" s="26"/>
      <c r="W588" s="26">
        <f t="shared" si="46"/>
        <v>355522.615229077</v>
      </c>
      <c r="X588" s="26">
        <f t="shared" si="47"/>
        <v>355760.607</v>
      </c>
      <c r="Y588" s="26"/>
    </row>
    <row r="589" ht="14.25" customHeight="1" spans="1:25">
      <c r="A589" s="10" t="s">
        <v>615</v>
      </c>
      <c r="B589">
        <v>1.44</v>
      </c>
      <c r="C589">
        <v>1.22</v>
      </c>
      <c r="D589">
        <v>1</v>
      </c>
      <c r="E589">
        <v>256</v>
      </c>
      <c r="F589">
        <v>29</v>
      </c>
      <c r="G589">
        <v>1</v>
      </c>
      <c r="H589" s="5">
        <f t="shared" si="0"/>
        <v>256.483611111111</v>
      </c>
      <c r="I589">
        <v>83</v>
      </c>
      <c r="J589">
        <v>6</v>
      </c>
      <c r="K589">
        <v>42</v>
      </c>
      <c r="L589" s="5">
        <f t="shared" si="1"/>
        <v>83.1116666666667</v>
      </c>
      <c r="M589" s="5">
        <f t="shared" si="28"/>
        <v>43.367089492655</v>
      </c>
      <c r="N589" s="5">
        <f t="shared" si="29"/>
        <v>5.2390348932674</v>
      </c>
      <c r="O589">
        <v>1.52</v>
      </c>
      <c r="P589">
        <v>1505.676</v>
      </c>
      <c r="Q589" s="5">
        <f t="shared" si="17"/>
        <v>1511.21503489327</v>
      </c>
      <c r="T589" s="26"/>
      <c r="U589" s="26">
        <v>289.4941667</v>
      </c>
      <c r="V589" s="26"/>
      <c r="W589" s="26">
        <f t="shared" si="46"/>
        <v>355518.826191102</v>
      </c>
      <c r="X589" s="26">
        <f t="shared" si="47"/>
        <v>355760.607</v>
      </c>
      <c r="Y589" s="26"/>
    </row>
    <row r="590" ht="14.25" customHeight="1" spans="1:25">
      <c r="A590" s="10" t="s">
        <v>616</v>
      </c>
      <c r="B590">
        <v>1.47</v>
      </c>
      <c r="C590">
        <v>1.235</v>
      </c>
      <c r="D590">
        <v>1</v>
      </c>
      <c r="E590">
        <v>251</v>
      </c>
      <c r="F590">
        <v>38</v>
      </c>
      <c r="G590">
        <v>42</v>
      </c>
      <c r="H590" s="5">
        <f t="shared" si="0"/>
        <v>251.645</v>
      </c>
      <c r="I590">
        <v>83</v>
      </c>
      <c r="J590">
        <v>53</v>
      </c>
      <c r="K590">
        <v>47</v>
      </c>
      <c r="L590" s="5">
        <f t="shared" si="1"/>
        <v>83.8963888888889</v>
      </c>
      <c r="M590" s="5">
        <f t="shared" si="28"/>
        <v>46.4686473444839</v>
      </c>
      <c r="N590" s="5">
        <f t="shared" si="29"/>
        <v>4.96902798993238</v>
      </c>
      <c r="O590">
        <v>1.52</v>
      </c>
      <c r="P590">
        <v>1505.676</v>
      </c>
      <c r="Q590" s="5">
        <f t="shared" si="17"/>
        <v>1510.93002798993</v>
      </c>
      <c r="T590" s="26"/>
      <c r="U590" s="26">
        <v>290.4941667</v>
      </c>
      <c r="V590" s="26"/>
      <c r="W590" s="26">
        <f t="shared" si="46"/>
        <v>355524.889155886</v>
      </c>
      <c r="X590" s="26">
        <f t="shared" si="47"/>
        <v>355760.607</v>
      </c>
      <c r="Y590" s="26"/>
    </row>
    <row r="591" ht="14.25" customHeight="1" spans="1:25">
      <c r="A591" s="10" t="s">
        <v>617</v>
      </c>
      <c r="B591">
        <v>1.46</v>
      </c>
      <c r="C591">
        <v>1.23</v>
      </c>
      <c r="D591">
        <v>1</v>
      </c>
      <c r="E591">
        <v>256</v>
      </c>
      <c r="F591">
        <v>16</v>
      </c>
      <c r="G591">
        <v>18</v>
      </c>
      <c r="H591" s="5">
        <f t="shared" si="0"/>
        <v>256.271666666667</v>
      </c>
      <c r="I591">
        <v>82</v>
      </c>
      <c r="J591">
        <v>14</v>
      </c>
      <c r="K591">
        <v>24</v>
      </c>
      <c r="L591" s="5">
        <f t="shared" si="1"/>
        <v>82.24</v>
      </c>
      <c r="M591" s="5">
        <f t="shared" si="28"/>
        <v>45.1613535463711</v>
      </c>
      <c r="N591" s="5">
        <f t="shared" si="29"/>
        <v>6.15421879630092</v>
      </c>
      <c r="O591">
        <v>1.52</v>
      </c>
      <c r="P591">
        <v>1505.676</v>
      </c>
      <c r="Q591" s="5">
        <f t="shared" si="17"/>
        <v>1512.1202187963</v>
      </c>
      <c r="T591" s="26"/>
      <c r="U591" s="26">
        <v>291.4941667</v>
      </c>
      <c r="V591" s="26"/>
      <c r="W591" s="26">
        <f t="shared" si="46"/>
        <v>355522.157778038</v>
      </c>
      <c r="X591" s="26">
        <f t="shared" si="47"/>
        <v>355760.607</v>
      </c>
      <c r="Y591" s="26"/>
    </row>
    <row r="592" ht="14.25" customHeight="1" spans="1:25">
      <c r="A592" s="10" t="s">
        <v>618</v>
      </c>
      <c r="B592">
        <v>1.48</v>
      </c>
      <c r="C592">
        <v>1.24</v>
      </c>
      <c r="D592">
        <v>1</v>
      </c>
      <c r="E592">
        <v>251</v>
      </c>
      <c r="F592">
        <v>53</v>
      </c>
      <c r="G592">
        <v>46</v>
      </c>
      <c r="H592" s="5">
        <f t="shared" si="0"/>
        <v>251.896111111111</v>
      </c>
      <c r="I592">
        <v>82</v>
      </c>
      <c r="J592">
        <v>58</v>
      </c>
      <c r="K592">
        <v>6</v>
      </c>
      <c r="L592" s="5">
        <f t="shared" si="1"/>
        <v>82.9683333333333</v>
      </c>
      <c r="M592" s="5">
        <f t="shared" si="28"/>
        <v>47.2806652581235</v>
      </c>
      <c r="N592" s="5">
        <f t="shared" si="29"/>
        <v>5.83186292184584</v>
      </c>
      <c r="O592">
        <v>1.52</v>
      </c>
      <c r="P592">
        <v>1505.676</v>
      </c>
      <c r="Q592" s="5">
        <f t="shared" si="17"/>
        <v>1511.78786292185</v>
      </c>
      <c r="T592" s="26"/>
      <c r="U592" s="26">
        <v>292.4941667</v>
      </c>
      <c r="V592" s="26"/>
      <c r="W592" s="26">
        <f t="shared" si="46"/>
        <v>355527.875525743</v>
      </c>
      <c r="X592" s="26">
        <f t="shared" si="47"/>
        <v>355760.607</v>
      </c>
      <c r="Y592" s="26"/>
    </row>
    <row r="593" ht="14.25" customHeight="1" spans="1:25">
      <c r="A593" s="10" t="s">
        <v>619</v>
      </c>
      <c r="B593">
        <v>1.462</v>
      </c>
      <c r="C593">
        <v>1.231</v>
      </c>
      <c r="D593">
        <v>1</v>
      </c>
      <c r="E593">
        <v>258</v>
      </c>
      <c r="F593">
        <v>47</v>
      </c>
      <c r="G593">
        <v>18</v>
      </c>
      <c r="H593" s="5">
        <f t="shared" si="0"/>
        <v>258.788333333333</v>
      </c>
      <c r="I593">
        <v>81</v>
      </c>
      <c r="J593">
        <v>11</v>
      </c>
      <c r="K593">
        <v>45</v>
      </c>
      <c r="L593" s="5">
        <f t="shared" si="1"/>
        <v>81.1958333333333</v>
      </c>
      <c r="M593" s="5">
        <f t="shared" si="28"/>
        <v>45.1176883032246</v>
      </c>
      <c r="N593" s="5">
        <f t="shared" si="29"/>
        <v>6.98794689319019</v>
      </c>
      <c r="O593">
        <v>1.52</v>
      </c>
      <c r="P593">
        <v>1505.676</v>
      </c>
      <c r="Q593" s="5">
        <f t="shared" si="17"/>
        <v>1512.95294689319</v>
      </c>
      <c r="T593" s="26"/>
      <c r="U593" s="26">
        <v>293.4941667</v>
      </c>
      <c r="V593" s="26"/>
      <c r="W593" s="26">
        <f t="shared" si="46"/>
        <v>355523.272047115</v>
      </c>
      <c r="X593" s="26">
        <f t="shared" si="47"/>
        <v>355760.607</v>
      </c>
      <c r="Y593" s="26"/>
    </row>
    <row r="594" ht="14.25" customHeight="1" spans="1:25">
      <c r="A594" s="10" t="s">
        <v>620</v>
      </c>
      <c r="B594">
        <v>1.082</v>
      </c>
      <c r="C594">
        <v>0.848</v>
      </c>
      <c r="D594">
        <v>0.6</v>
      </c>
      <c r="E594">
        <v>253</v>
      </c>
      <c r="F594">
        <v>49</v>
      </c>
      <c r="G594">
        <v>34</v>
      </c>
      <c r="H594" s="5">
        <f t="shared" si="0"/>
        <v>253.826111111111</v>
      </c>
      <c r="I594">
        <v>82</v>
      </c>
      <c r="J594">
        <v>15</v>
      </c>
      <c r="K594">
        <v>23</v>
      </c>
      <c r="L594" s="5">
        <f t="shared" si="1"/>
        <v>82.2563888888889</v>
      </c>
      <c r="M594" s="5">
        <f t="shared" si="28"/>
        <v>47.3249296560612</v>
      </c>
      <c r="N594" s="5">
        <f t="shared" si="29"/>
        <v>6.43526553228467</v>
      </c>
      <c r="O594">
        <v>1.52</v>
      </c>
      <c r="P594">
        <v>1505.676</v>
      </c>
      <c r="Q594" s="5">
        <f t="shared" si="17"/>
        <v>1512.78326553228</v>
      </c>
      <c r="T594" s="26"/>
      <c r="U594" s="26">
        <v>294.4941667</v>
      </c>
      <c r="V594" s="26"/>
      <c r="W594" s="26">
        <f t="shared" si="46"/>
        <v>355529.624354071</v>
      </c>
      <c r="X594" s="26">
        <f t="shared" si="47"/>
        <v>355760.607</v>
      </c>
      <c r="Y594" s="26"/>
    </row>
    <row r="595" ht="14.25" customHeight="1" spans="1:25">
      <c r="A595" s="10" t="s">
        <v>621</v>
      </c>
      <c r="B595">
        <v>0.88</v>
      </c>
      <c r="C595">
        <v>0.64</v>
      </c>
      <c r="D595">
        <v>0.4</v>
      </c>
      <c r="E595">
        <v>260</v>
      </c>
      <c r="F595">
        <v>51</v>
      </c>
      <c r="G595">
        <v>7</v>
      </c>
      <c r="H595" s="5">
        <f t="shared" si="0"/>
        <v>260.851944444444</v>
      </c>
      <c r="I595">
        <v>80</v>
      </c>
      <c r="J595">
        <v>33</v>
      </c>
      <c r="K595">
        <v>52</v>
      </c>
      <c r="L595" s="5">
        <f t="shared" si="1"/>
        <v>80.5644444444444</v>
      </c>
      <c r="M595" s="5">
        <f t="shared" si="28"/>
        <v>46.7099654337982</v>
      </c>
      <c r="N595" s="5">
        <f t="shared" si="29"/>
        <v>7.76256851793861</v>
      </c>
      <c r="O595">
        <v>1.52</v>
      </c>
      <c r="P595">
        <v>1505.676</v>
      </c>
      <c r="Q595" s="5">
        <f t="shared" si="17"/>
        <v>1514.31856851794</v>
      </c>
      <c r="T595" s="26"/>
      <c r="U595" s="26">
        <v>295.4941667</v>
      </c>
      <c r="V595" s="26"/>
      <c r="W595" s="26">
        <f t="shared" si="46"/>
        <v>355525.154441585</v>
      </c>
      <c r="X595" s="26">
        <f t="shared" si="47"/>
        <v>355760.607</v>
      </c>
      <c r="Y595" s="26"/>
    </row>
    <row r="596" ht="14.25" customHeight="1" spans="1:25">
      <c r="A596" s="10" t="s">
        <v>622</v>
      </c>
      <c r="B596">
        <v>1.508</v>
      </c>
      <c r="C596">
        <v>1.254</v>
      </c>
      <c r="D596">
        <v>1</v>
      </c>
      <c r="E596">
        <v>254</v>
      </c>
      <c r="F596">
        <v>21</v>
      </c>
      <c r="G596">
        <v>16</v>
      </c>
      <c r="H596" s="5">
        <f t="shared" si="0"/>
        <v>254.354444444444</v>
      </c>
      <c r="I596">
        <v>81</v>
      </c>
      <c r="J596">
        <v>0</v>
      </c>
      <c r="K596">
        <v>29</v>
      </c>
      <c r="L596" s="5">
        <f t="shared" si="1"/>
        <v>81.0080555555556</v>
      </c>
      <c r="M596" s="5">
        <f t="shared" si="28"/>
        <v>49.5590416432404</v>
      </c>
      <c r="N596" s="5">
        <f t="shared" si="29"/>
        <v>7.84223863958333</v>
      </c>
      <c r="O596">
        <v>1.52</v>
      </c>
      <c r="P596">
        <v>1505.676</v>
      </c>
      <c r="Q596" s="5">
        <f t="shared" si="17"/>
        <v>1513.78423863958</v>
      </c>
      <c r="T596" s="26"/>
      <c r="U596" s="26">
        <v>296.4941667</v>
      </c>
      <c r="V596" s="26"/>
      <c r="W596" s="26">
        <f t="shared" si="46"/>
        <v>355532.964914203</v>
      </c>
      <c r="X596" s="26">
        <f t="shared" si="47"/>
        <v>355760.607</v>
      </c>
      <c r="Y596" s="26"/>
    </row>
    <row r="597" ht="14.25" customHeight="1" spans="1:25">
      <c r="A597" s="10" t="s">
        <v>623</v>
      </c>
      <c r="B597">
        <v>1.192</v>
      </c>
      <c r="C597">
        <v>0.941</v>
      </c>
      <c r="D597">
        <v>0.7</v>
      </c>
      <c r="E597">
        <v>262</v>
      </c>
      <c r="F597">
        <v>2</v>
      </c>
      <c r="G597">
        <v>50</v>
      </c>
      <c r="H597" s="5">
        <f t="shared" si="0"/>
        <v>262.047222222222</v>
      </c>
      <c r="I597">
        <v>79</v>
      </c>
      <c r="J597">
        <v>4</v>
      </c>
      <c r="K597">
        <v>41</v>
      </c>
      <c r="L597" s="5">
        <f t="shared" si="1"/>
        <v>79.0780555555556</v>
      </c>
      <c r="M597" s="5">
        <f t="shared" si="28"/>
        <v>47.4337466826298</v>
      </c>
      <c r="N597" s="5">
        <f t="shared" si="29"/>
        <v>9.1531422163918</v>
      </c>
      <c r="O597">
        <v>1.52</v>
      </c>
      <c r="P597">
        <v>1505.676</v>
      </c>
      <c r="Q597" s="5">
        <f t="shared" si="17"/>
        <v>1515.40814221639</v>
      </c>
      <c r="T597" s="26"/>
      <c r="U597" s="26">
        <v>297.4941667</v>
      </c>
      <c r="V597" s="26"/>
      <c r="W597" s="26">
        <f t="shared" si="46"/>
        <v>355528.155957332</v>
      </c>
      <c r="X597" s="26">
        <f t="shared" si="47"/>
        <v>355760.607</v>
      </c>
      <c r="Y597" s="26"/>
    </row>
    <row r="598" ht="14.25" customHeight="1" spans="1:25">
      <c r="A598" s="10" t="s">
        <v>624</v>
      </c>
      <c r="B598">
        <v>1.306</v>
      </c>
      <c r="C598">
        <v>1.153</v>
      </c>
      <c r="D598">
        <v>1</v>
      </c>
      <c r="E598">
        <v>267</v>
      </c>
      <c r="F598">
        <v>7</v>
      </c>
      <c r="G598">
        <v>4</v>
      </c>
      <c r="H598" s="5">
        <f t="shared" si="0"/>
        <v>267.117777777778</v>
      </c>
      <c r="I598">
        <v>87</v>
      </c>
      <c r="J598">
        <v>21</v>
      </c>
      <c r="K598">
        <v>13</v>
      </c>
      <c r="L598" s="5">
        <f t="shared" si="1"/>
        <v>87.3536111111111</v>
      </c>
      <c r="M598" s="5">
        <f t="shared" si="28"/>
        <v>30.5347659060751</v>
      </c>
      <c r="N598" s="5">
        <f t="shared" si="29"/>
        <v>1.41134963318561</v>
      </c>
      <c r="O598">
        <v>1.52</v>
      </c>
      <c r="P598">
        <v>1505.676</v>
      </c>
      <c r="Q598" s="5">
        <f t="shared" si="17"/>
        <v>1507.45434963319</v>
      </c>
      <c r="T598" s="26"/>
      <c r="U598" s="26">
        <v>298.4941667</v>
      </c>
      <c r="V598" s="26"/>
      <c r="W598" s="26">
        <f t="shared" si="46"/>
        <v>355525.846350602</v>
      </c>
      <c r="X598" s="26">
        <f t="shared" si="47"/>
        <v>355760.607</v>
      </c>
      <c r="Y598" s="26"/>
    </row>
    <row r="599" ht="14.25" customHeight="1" spans="1:25">
      <c r="A599" s="10" t="s">
        <v>625</v>
      </c>
      <c r="B599">
        <v>1.32</v>
      </c>
      <c r="C599">
        <v>1.16</v>
      </c>
      <c r="D599">
        <v>1</v>
      </c>
      <c r="E599">
        <v>274</v>
      </c>
      <c r="F599">
        <v>1</v>
      </c>
      <c r="G599">
        <v>49</v>
      </c>
      <c r="H599" s="5">
        <f t="shared" si="0"/>
        <v>274.030277777778</v>
      </c>
      <c r="I599">
        <v>86</v>
      </c>
      <c r="J599">
        <v>52</v>
      </c>
      <c r="K599">
        <v>31</v>
      </c>
      <c r="L599" s="5">
        <f t="shared" si="1"/>
        <v>86.8752777777778</v>
      </c>
      <c r="M599" s="5">
        <f t="shared" si="28"/>
        <v>31.9049183004576</v>
      </c>
      <c r="N599" s="5">
        <f t="shared" si="29"/>
        <v>1.74171577927354</v>
      </c>
      <c r="O599">
        <v>1.52</v>
      </c>
      <c r="P599">
        <v>1505.676</v>
      </c>
      <c r="Q599" s="5">
        <f t="shared" si="17"/>
        <v>1507.77771577927</v>
      </c>
      <c r="T599" s="26"/>
      <c r="U599" s="26">
        <v>299.4941667</v>
      </c>
      <c r="V599" s="26"/>
      <c r="W599" s="26">
        <f t="shared" si="46"/>
        <v>355522.089450029</v>
      </c>
      <c r="X599" s="26">
        <f t="shared" si="47"/>
        <v>355760.607</v>
      </c>
      <c r="Y599" s="26"/>
    </row>
    <row r="600" ht="14.25" customHeight="1" spans="1:25">
      <c r="A600" s="10" t="s">
        <v>626</v>
      </c>
      <c r="B600">
        <v>1.312</v>
      </c>
      <c r="C600">
        <v>1.157</v>
      </c>
      <c r="D600">
        <v>1</v>
      </c>
      <c r="E600">
        <v>266</v>
      </c>
      <c r="F600">
        <v>55</v>
      </c>
      <c r="G600">
        <v>50</v>
      </c>
      <c r="H600" s="5">
        <f t="shared" si="0"/>
        <v>266.930555555556</v>
      </c>
      <c r="I600">
        <v>85</v>
      </c>
      <c r="J600">
        <v>30</v>
      </c>
      <c r="K600">
        <v>36</v>
      </c>
      <c r="L600" s="5">
        <f t="shared" si="1"/>
        <v>85.51</v>
      </c>
      <c r="M600" s="5">
        <f t="shared" si="28"/>
        <v>31.0087890270629</v>
      </c>
      <c r="N600" s="5">
        <f t="shared" si="29"/>
        <v>2.43499912104011</v>
      </c>
      <c r="O600">
        <v>1.52</v>
      </c>
      <c r="P600">
        <v>1505.676</v>
      </c>
      <c r="Q600" s="5">
        <f t="shared" si="17"/>
        <v>1508.47399912104</v>
      </c>
      <c r="T600" s="26"/>
      <c r="U600" s="26">
        <v>300.4941667</v>
      </c>
      <c r="V600" s="26"/>
      <c r="W600" s="26">
        <f t="shared" si="46"/>
        <v>355530.598057802</v>
      </c>
      <c r="X600" s="26">
        <f t="shared" si="47"/>
        <v>355760.607</v>
      </c>
      <c r="Y600" s="26"/>
    </row>
    <row r="601" ht="14.25" customHeight="1" spans="1:25">
      <c r="A601" s="10" t="s">
        <v>627</v>
      </c>
      <c r="B601">
        <v>1.324</v>
      </c>
      <c r="C601">
        <v>1.162</v>
      </c>
      <c r="D601">
        <v>1</v>
      </c>
      <c r="E601">
        <v>273</v>
      </c>
      <c r="F601">
        <v>50</v>
      </c>
      <c r="G601">
        <v>34</v>
      </c>
      <c r="H601" s="5">
        <f t="shared" si="0"/>
        <v>273.842777777778</v>
      </c>
      <c r="I601">
        <v>84</v>
      </c>
      <c r="J601">
        <v>52</v>
      </c>
      <c r="K601">
        <v>29</v>
      </c>
      <c r="L601" s="5">
        <f t="shared" si="1"/>
        <v>84.8747222222222</v>
      </c>
      <c r="M601" s="5">
        <f t="shared" si="28"/>
        <v>32.1414313498138</v>
      </c>
      <c r="N601" s="5">
        <f t="shared" si="29"/>
        <v>2.88284000929205</v>
      </c>
      <c r="O601">
        <v>1.52</v>
      </c>
      <c r="P601">
        <v>1505.676</v>
      </c>
      <c r="Q601" s="5">
        <f t="shared" si="17"/>
        <v>1508.91684000929</v>
      </c>
      <c r="T601" s="26"/>
      <c r="U601" s="26">
        <v>301.4941667</v>
      </c>
      <c r="V601" s="26"/>
      <c r="W601" s="26">
        <f t="shared" si="46"/>
        <v>355527.10308299</v>
      </c>
      <c r="X601" s="26">
        <f t="shared" si="47"/>
        <v>355760.607</v>
      </c>
      <c r="Y601" s="26"/>
    </row>
    <row r="602" ht="14.25" customHeight="1" spans="1:25">
      <c r="A602" s="10" t="s">
        <v>628</v>
      </c>
      <c r="B602">
        <v>1.322</v>
      </c>
      <c r="C602">
        <v>1.161</v>
      </c>
      <c r="D602">
        <v>1</v>
      </c>
      <c r="E602">
        <v>268</v>
      </c>
      <c r="F602">
        <v>1</v>
      </c>
      <c r="G602">
        <v>54</v>
      </c>
      <c r="H602" s="5">
        <f t="shared" si="0"/>
        <v>268.031666666667</v>
      </c>
      <c r="I602">
        <v>84</v>
      </c>
      <c r="J602">
        <v>40</v>
      </c>
      <c r="K602">
        <v>8</v>
      </c>
      <c r="L602" s="5">
        <f t="shared" si="1"/>
        <v>84.6688888888889</v>
      </c>
      <c r="M602" s="5">
        <f t="shared" si="28"/>
        <v>31.9220335257274</v>
      </c>
      <c r="N602" s="5">
        <f t="shared" si="29"/>
        <v>2.97880095185246</v>
      </c>
      <c r="O602">
        <v>1.52</v>
      </c>
      <c r="P602">
        <v>1505.676</v>
      </c>
      <c r="Q602" s="5">
        <f t="shared" si="17"/>
        <v>1509.01380095185</v>
      </c>
      <c r="T602" s="26"/>
      <c r="U602" s="26">
        <v>302.4941667</v>
      </c>
      <c r="V602" s="26"/>
      <c r="W602" s="26">
        <f t="shared" si="46"/>
        <v>355534.53672436</v>
      </c>
      <c r="X602" s="26">
        <f t="shared" si="47"/>
        <v>355760.607</v>
      </c>
      <c r="Y602" s="26"/>
    </row>
    <row r="603" ht="14.25" customHeight="1" spans="1:25">
      <c r="A603" s="10" t="s">
        <v>629</v>
      </c>
      <c r="B603" s="27">
        <v>1.328</v>
      </c>
      <c r="C603">
        <v>1.164</v>
      </c>
      <c r="D603">
        <v>1</v>
      </c>
      <c r="E603">
        <v>273</v>
      </c>
      <c r="F603">
        <v>46</v>
      </c>
      <c r="G603">
        <v>36</v>
      </c>
      <c r="H603" s="5">
        <f t="shared" si="0"/>
        <v>273.776666666667</v>
      </c>
      <c r="I603">
        <v>83</v>
      </c>
      <c r="J603">
        <v>36</v>
      </c>
      <c r="K603">
        <v>49</v>
      </c>
      <c r="L603" s="5">
        <f t="shared" si="1"/>
        <v>83.6136111111111</v>
      </c>
      <c r="M603" s="5">
        <f t="shared" si="28"/>
        <v>32.3941738948904</v>
      </c>
      <c r="N603" s="5">
        <f t="shared" si="29"/>
        <v>3.62579666004673</v>
      </c>
      <c r="O603">
        <v>1.52</v>
      </c>
      <c r="P603">
        <v>1505.676</v>
      </c>
      <c r="Q603" s="5">
        <f t="shared" si="17"/>
        <v>1509.65779666005</v>
      </c>
      <c r="T603" s="26"/>
      <c r="U603" s="26">
        <v>303.4941667</v>
      </c>
      <c r="V603" s="26"/>
      <c r="W603" s="26">
        <f t="shared" si="46"/>
        <v>355532.293136246</v>
      </c>
      <c r="X603" s="26">
        <f t="shared" si="47"/>
        <v>355760.607</v>
      </c>
      <c r="Y603" s="26"/>
    </row>
    <row r="604" ht="14.25" customHeight="1" spans="1:24">
      <c r="A604" s="6" t="s">
        <v>630</v>
      </c>
      <c r="B604" s="28">
        <v>1.27</v>
      </c>
      <c r="C604" s="7">
        <v>1.135</v>
      </c>
      <c r="D604" s="7">
        <v>1</v>
      </c>
      <c r="E604" s="7">
        <v>175</v>
      </c>
      <c r="F604" s="7">
        <v>2</v>
      </c>
      <c r="G604" s="7">
        <v>40</v>
      </c>
      <c r="H604" s="8">
        <f t="shared" si="0"/>
        <v>175.044444444444</v>
      </c>
      <c r="I604" s="7">
        <v>88</v>
      </c>
      <c r="J604" s="7">
        <v>43</v>
      </c>
      <c r="K604" s="7">
        <v>17</v>
      </c>
      <c r="L604" s="8">
        <f t="shared" si="1"/>
        <v>88.7213888888889</v>
      </c>
      <c r="M604" s="8">
        <f t="shared" si="28"/>
        <v>26.986556159443</v>
      </c>
      <c r="N604" s="8">
        <f t="shared" si="29"/>
        <v>0.602331269476272</v>
      </c>
      <c r="O604" s="7">
        <v>1.5</v>
      </c>
      <c r="P604" s="7">
        <v>1505.676</v>
      </c>
      <c r="Q604" s="8">
        <f t="shared" si="17"/>
        <v>1506.64333126948</v>
      </c>
      <c r="R604" s="7" t="s">
        <v>631</v>
      </c>
      <c r="S604" s="7">
        <v>355751.956</v>
      </c>
      <c r="T604" s="7">
        <v>3055807.429</v>
      </c>
      <c r="U604" s="7">
        <v>248.3597222</v>
      </c>
      <c r="V604" s="7"/>
      <c r="W604" s="7">
        <f>$S$604+(H604*SIN(U604*3.141592654/180))</f>
        <v>355589.249130495</v>
      </c>
      <c r="X604" s="7">
        <f>$S$604+(I604*SIN(V604*3.141592654/180))</f>
        <v>355751.956</v>
      </c>
    </row>
    <row r="605" ht="14.25" customHeight="1" spans="1:24">
      <c r="A605" s="10" t="s">
        <v>632</v>
      </c>
      <c r="B605" s="27">
        <v>1.29</v>
      </c>
      <c r="C605">
        <v>1.145</v>
      </c>
      <c r="D605">
        <v>1</v>
      </c>
      <c r="E605">
        <v>181</v>
      </c>
      <c r="F605">
        <v>45</v>
      </c>
      <c r="G605">
        <v>11</v>
      </c>
      <c r="H605" s="5">
        <f t="shared" si="0"/>
        <v>181.753055555556</v>
      </c>
      <c r="I605">
        <v>89</v>
      </c>
      <c r="J605">
        <v>14</v>
      </c>
      <c r="K605">
        <v>18</v>
      </c>
      <c r="L605" s="5">
        <f t="shared" si="1"/>
        <v>89.2383333333333</v>
      </c>
      <c r="M605" s="5">
        <f t="shared" si="28"/>
        <v>28.9948754344875</v>
      </c>
      <c r="N605" s="5">
        <f t="shared" si="29"/>
        <v>0.385468725955423</v>
      </c>
      <c r="O605">
        <v>1.5</v>
      </c>
      <c r="P605">
        <v>1505.676</v>
      </c>
      <c r="Q605" s="5">
        <f t="shared" si="17"/>
        <v>1506.41646872596</v>
      </c>
      <c r="U605">
        <v>249.3597222</v>
      </c>
      <c r="W605" s="29">
        <f t="shared" ref="W605:W636" si="48">$S$604+(H605*SIN(U605*3.141592654/180))</f>
        <v>355581.869315582</v>
      </c>
      <c r="X605" s="29">
        <f t="shared" ref="X605:X636" si="49">$S$604+(I605*SIN(V605*3.141592654/180))</f>
        <v>355751.956</v>
      </c>
    </row>
    <row r="606" ht="14.25" customHeight="1" spans="1:24">
      <c r="A606" s="10" t="s">
        <v>633</v>
      </c>
      <c r="B606" s="27">
        <v>1.726</v>
      </c>
      <c r="C606">
        <v>1.613</v>
      </c>
      <c r="D606">
        <v>1.5</v>
      </c>
      <c r="E606">
        <v>202</v>
      </c>
      <c r="F606">
        <v>52</v>
      </c>
      <c r="G606">
        <v>8</v>
      </c>
      <c r="H606" s="5">
        <f t="shared" si="0"/>
        <v>202.868888888889</v>
      </c>
      <c r="I606">
        <v>88</v>
      </c>
      <c r="J606">
        <v>0</v>
      </c>
      <c r="K606">
        <v>45</v>
      </c>
      <c r="L606" s="5">
        <f t="shared" si="1"/>
        <v>88.0125</v>
      </c>
      <c r="M606" s="5">
        <f t="shared" si="28"/>
        <v>22.5728166330051</v>
      </c>
      <c r="N606" s="5">
        <f t="shared" si="29"/>
        <v>0.783329533876644</v>
      </c>
      <c r="O606">
        <v>1.5</v>
      </c>
      <c r="P606">
        <v>1519.236</v>
      </c>
      <c r="Q606" s="5">
        <f t="shared" si="17"/>
        <v>1519.90632953388</v>
      </c>
      <c r="U606">
        <v>250.3597222</v>
      </c>
      <c r="W606" s="29">
        <f t="shared" si="48"/>
        <v>355560.889738157</v>
      </c>
      <c r="X606" s="29">
        <f t="shared" si="49"/>
        <v>355751.956</v>
      </c>
    </row>
    <row r="607" ht="14.25" customHeight="1" spans="1:24">
      <c r="A607" s="10" t="s">
        <v>634</v>
      </c>
      <c r="B607" s="27">
        <v>1.488</v>
      </c>
      <c r="C607">
        <v>1.394</v>
      </c>
      <c r="D607">
        <v>1.3</v>
      </c>
      <c r="E607">
        <v>203</v>
      </c>
      <c r="F607">
        <v>24</v>
      </c>
      <c r="G607">
        <v>18</v>
      </c>
      <c r="H607" s="5">
        <f t="shared" si="0"/>
        <v>203.405</v>
      </c>
      <c r="I607">
        <v>87</v>
      </c>
      <c r="J607">
        <v>36</v>
      </c>
      <c r="K607">
        <v>30</v>
      </c>
      <c r="L607" s="5">
        <f t="shared" si="1"/>
        <v>87.6083333333333</v>
      </c>
      <c r="M607" s="5">
        <f t="shared" si="28"/>
        <v>18.7672612850827</v>
      </c>
      <c r="N607" s="5">
        <f t="shared" si="29"/>
        <v>0.783846934669849</v>
      </c>
      <c r="O607">
        <v>1.5</v>
      </c>
      <c r="P607">
        <v>1519.236</v>
      </c>
      <c r="Q607" s="5">
        <f t="shared" si="17"/>
        <v>1520.12584693467</v>
      </c>
      <c r="U607">
        <v>251.3597222</v>
      </c>
      <c r="W607" s="29">
        <f t="shared" si="48"/>
        <v>355559.220822049</v>
      </c>
      <c r="X607" s="29">
        <f t="shared" si="49"/>
        <v>355751.956</v>
      </c>
    </row>
    <row r="608" ht="14.25" customHeight="1" spans="1:24">
      <c r="A608" s="10" t="s">
        <v>635</v>
      </c>
      <c r="B608" s="27">
        <v>1.208</v>
      </c>
      <c r="C608">
        <v>1.104</v>
      </c>
      <c r="D608">
        <v>1</v>
      </c>
      <c r="E608">
        <v>231</v>
      </c>
      <c r="F608">
        <v>42</v>
      </c>
      <c r="G608">
        <v>22</v>
      </c>
      <c r="H608" s="5">
        <f t="shared" si="0"/>
        <v>231.706111111111</v>
      </c>
      <c r="I608">
        <v>88</v>
      </c>
      <c r="J608">
        <v>34</v>
      </c>
      <c r="K608">
        <v>36</v>
      </c>
      <c r="L608" s="5">
        <f t="shared" si="1"/>
        <v>88.5766666666667</v>
      </c>
      <c r="M608" s="5">
        <f t="shared" si="28"/>
        <v>20.7871665928747</v>
      </c>
      <c r="N608" s="5">
        <f t="shared" si="29"/>
        <v>0.516497988251798</v>
      </c>
      <c r="O608">
        <v>1.5</v>
      </c>
      <c r="P608">
        <v>1519.236</v>
      </c>
      <c r="Q608" s="5">
        <f t="shared" si="17"/>
        <v>1520.14849798825</v>
      </c>
      <c r="U608">
        <v>252.3597222</v>
      </c>
      <c r="W608" s="29">
        <f t="shared" si="48"/>
        <v>355531.14520321</v>
      </c>
      <c r="X608" s="29">
        <f t="shared" si="49"/>
        <v>355751.956</v>
      </c>
    </row>
    <row r="609" ht="14.25" customHeight="1" spans="1:24">
      <c r="A609" s="10" t="s">
        <v>636</v>
      </c>
      <c r="B609" s="27">
        <v>1.246</v>
      </c>
      <c r="C609">
        <v>1.123</v>
      </c>
      <c r="D609">
        <v>1</v>
      </c>
      <c r="E609">
        <v>228</v>
      </c>
      <c r="F609">
        <v>23</v>
      </c>
      <c r="G609">
        <v>44</v>
      </c>
      <c r="H609" s="5">
        <f t="shared" si="0"/>
        <v>228.395555555556</v>
      </c>
      <c r="I609">
        <v>89</v>
      </c>
      <c r="J609">
        <v>20</v>
      </c>
      <c r="K609">
        <v>21</v>
      </c>
      <c r="L609" s="5">
        <f t="shared" si="1"/>
        <v>89.3391666666667</v>
      </c>
      <c r="M609" s="5">
        <f t="shared" si="28"/>
        <v>24.5967276897918</v>
      </c>
      <c r="N609" s="5">
        <f t="shared" si="29"/>
        <v>0.283704288136557</v>
      </c>
      <c r="O609">
        <v>1.5</v>
      </c>
      <c r="P609">
        <v>1519.236</v>
      </c>
      <c r="Q609" s="5">
        <f t="shared" si="17"/>
        <v>1519.89670428814</v>
      </c>
      <c r="U609">
        <v>253.3597222</v>
      </c>
      <c r="W609" s="29">
        <f t="shared" si="48"/>
        <v>355533.125306671</v>
      </c>
      <c r="X609" s="29">
        <f t="shared" si="49"/>
        <v>355751.956</v>
      </c>
    </row>
    <row r="610" ht="14.25" customHeight="1" spans="1:24">
      <c r="A610" s="10" t="s">
        <v>637</v>
      </c>
      <c r="B610" s="27">
        <v>1.29</v>
      </c>
      <c r="C610">
        <v>1.145</v>
      </c>
      <c r="D610">
        <v>1</v>
      </c>
      <c r="E610">
        <v>237</v>
      </c>
      <c r="F610">
        <v>51</v>
      </c>
      <c r="G610">
        <v>0</v>
      </c>
      <c r="H610" s="5">
        <f t="shared" si="0"/>
        <v>237.85</v>
      </c>
      <c r="I610">
        <v>89</v>
      </c>
      <c r="J610">
        <v>12</v>
      </c>
      <c r="K610">
        <v>6</v>
      </c>
      <c r="L610" s="5">
        <f t="shared" si="1"/>
        <v>89.2016666666667</v>
      </c>
      <c r="M610" s="5">
        <f t="shared" si="28"/>
        <v>28.9943701975749</v>
      </c>
      <c r="N610" s="5">
        <f t="shared" si="29"/>
        <v>0.404020513899452</v>
      </c>
      <c r="O610">
        <v>1.5</v>
      </c>
      <c r="P610">
        <v>1519.236</v>
      </c>
      <c r="Q610" s="5">
        <f t="shared" si="17"/>
        <v>1519.9950205139</v>
      </c>
      <c r="U610">
        <v>254.3597222</v>
      </c>
      <c r="W610" s="29">
        <f t="shared" si="48"/>
        <v>355522.91280448</v>
      </c>
      <c r="X610" s="29">
        <f t="shared" si="49"/>
        <v>355751.956</v>
      </c>
    </row>
    <row r="611" ht="14.25" customHeight="1" spans="1:24">
      <c r="A611" s="10" t="s">
        <v>638</v>
      </c>
      <c r="B611">
        <v>1.292</v>
      </c>
      <c r="C611">
        <v>1.146</v>
      </c>
      <c r="D611">
        <v>1</v>
      </c>
      <c r="E611">
        <v>245</v>
      </c>
      <c r="F611">
        <v>51</v>
      </c>
      <c r="G611">
        <v>54</v>
      </c>
      <c r="H611" s="5">
        <f t="shared" si="0"/>
        <v>245.865</v>
      </c>
      <c r="I611">
        <v>88</v>
      </c>
      <c r="J611">
        <v>48</v>
      </c>
      <c r="K611">
        <v>49</v>
      </c>
      <c r="L611" s="5">
        <f t="shared" si="1"/>
        <v>88.8136111111111</v>
      </c>
      <c r="M611" s="5">
        <f t="shared" si="28"/>
        <v>29.1874821524408</v>
      </c>
      <c r="N611" s="5">
        <f t="shared" si="29"/>
        <v>0.604453846228696</v>
      </c>
      <c r="O611">
        <v>1.5</v>
      </c>
      <c r="P611">
        <v>1519.236</v>
      </c>
      <c r="Q611" s="5">
        <f t="shared" si="17"/>
        <v>1520.19445384623</v>
      </c>
      <c r="U611">
        <v>255.3597222</v>
      </c>
      <c r="W611" s="29">
        <f t="shared" si="48"/>
        <v>355514.073810771</v>
      </c>
      <c r="X611" s="29">
        <f t="shared" si="49"/>
        <v>355751.956</v>
      </c>
    </row>
    <row r="612" ht="14.25" customHeight="1" spans="1:24">
      <c r="A612" s="10" t="s">
        <v>639</v>
      </c>
      <c r="B612">
        <v>1.412</v>
      </c>
      <c r="C612">
        <v>1.206</v>
      </c>
      <c r="D612">
        <v>1</v>
      </c>
      <c r="E612">
        <v>248</v>
      </c>
      <c r="F612">
        <v>53</v>
      </c>
      <c r="G612">
        <v>41</v>
      </c>
      <c r="H612" s="5">
        <f t="shared" si="0"/>
        <v>248.894722222222</v>
      </c>
      <c r="I612">
        <v>89</v>
      </c>
      <c r="J612">
        <v>0</v>
      </c>
      <c r="K612">
        <v>4</v>
      </c>
      <c r="L612" s="5">
        <f t="shared" si="1"/>
        <v>89.0011111111111</v>
      </c>
      <c r="M612" s="5">
        <f t="shared" si="28"/>
        <v>41.1874789048624</v>
      </c>
      <c r="N612" s="5">
        <f t="shared" si="29"/>
        <v>0.718131145297245</v>
      </c>
      <c r="O612">
        <v>1.5</v>
      </c>
      <c r="P612">
        <v>1519.236</v>
      </c>
      <c r="Q612" s="5">
        <f t="shared" si="17"/>
        <v>1520.2481311453</v>
      </c>
      <c r="U612">
        <v>256.3597222</v>
      </c>
      <c r="W612" s="29">
        <f t="shared" si="48"/>
        <v>355510.081238849</v>
      </c>
      <c r="X612" s="29">
        <f t="shared" si="49"/>
        <v>355751.956</v>
      </c>
    </row>
    <row r="613" ht="14.25" customHeight="1" spans="1:24">
      <c r="A613" s="10" t="s">
        <v>640</v>
      </c>
      <c r="B613">
        <v>1.428</v>
      </c>
      <c r="C613">
        <v>1.214</v>
      </c>
      <c r="D613">
        <v>1</v>
      </c>
      <c r="E613">
        <v>242</v>
      </c>
      <c r="F613">
        <v>18</v>
      </c>
      <c r="G613">
        <v>47</v>
      </c>
      <c r="H613" s="5">
        <f t="shared" si="0"/>
        <v>242.313055555556</v>
      </c>
      <c r="I613">
        <v>89</v>
      </c>
      <c r="J613">
        <v>26</v>
      </c>
      <c r="K613">
        <v>55</v>
      </c>
      <c r="L613" s="5">
        <f t="shared" si="1"/>
        <v>89.4486111111111</v>
      </c>
      <c r="M613" s="5">
        <f t="shared" si="28"/>
        <v>42.7960362968871</v>
      </c>
      <c r="N613" s="5">
        <f t="shared" si="29"/>
        <v>0.411862576948799</v>
      </c>
      <c r="O613">
        <v>1.5</v>
      </c>
      <c r="P613">
        <v>1519.236</v>
      </c>
      <c r="Q613" s="5">
        <f t="shared" si="17"/>
        <v>1519.93386257695</v>
      </c>
      <c r="U613">
        <v>257.3597222</v>
      </c>
      <c r="W613" s="29">
        <f t="shared" si="48"/>
        <v>355515.515844644</v>
      </c>
      <c r="X613" s="29">
        <f t="shared" si="49"/>
        <v>355751.956</v>
      </c>
    </row>
    <row r="614" ht="14.25" customHeight="1" spans="1:24">
      <c r="A614" s="10" t="s">
        <v>641</v>
      </c>
      <c r="B614">
        <v>1.24</v>
      </c>
      <c r="C614">
        <v>1.12</v>
      </c>
      <c r="D614">
        <v>1</v>
      </c>
      <c r="E614">
        <v>218</v>
      </c>
      <c r="F614">
        <v>21</v>
      </c>
      <c r="G614">
        <v>9</v>
      </c>
      <c r="H614" s="5">
        <f t="shared" si="0"/>
        <v>218.3525</v>
      </c>
      <c r="I614">
        <v>87</v>
      </c>
      <c r="J614">
        <v>56</v>
      </c>
      <c r="K614">
        <v>58</v>
      </c>
      <c r="L614" s="5">
        <f t="shared" si="1"/>
        <v>87.9494444444445</v>
      </c>
      <c r="M614" s="5">
        <f t="shared" si="28"/>
        <v>23.9692727547099</v>
      </c>
      <c r="N614" s="5">
        <f t="shared" si="29"/>
        <v>0.858201446840963</v>
      </c>
      <c r="O614">
        <v>1.5</v>
      </c>
      <c r="P614">
        <v>1519.236</v>
      </c>
      <c r="Q614" s="5">
        <f t="shared" si="17"/>
        <v>1520.47420144684</v>
      </c>
      <c r="U614">
        <v>258.3597222</v>
      </c>
      <c r="W614" s="29">
        <f t="shared" si="48"/>
        <v>355538.09421309</v>
      </c>
      <c r="X614" s="29">
        <f t="shared" si="49"/>
        <v>355751.956</v>
      </c>
    </row>
    <row r="615" ht="14.25" customHeight="1" spans="1:24">
      <c r="A615" s="10" t="s">
        <v>642</v>
      </c>
      <c r="B615">
        <v>1.246</v>
      </c>
      <c r="C615">
        <v>1.123</v>
      </c>
      <c r="D615">
        <v>1</v>
      </c>
      <c r="E615">
        <v>218</v>
      </c>
      <c r="F615">
        <v>52</v>
      </c>
      <c r="G615">
        <v>32</v>
      </c>
      <c r="H615" s="5">
        <f t="shared" si="0"/>
        <v>218.875555555556</v>
      </c>
      <c r="I615">
        <v>86</v>
      </c>
      <c r="J615">
        <v>56</v>
      </c>
      <c r="K615">
        <v>46</v>
      </c>
      <c r="L615" s="5">
        <f t="shared" si="1"/>
        <v>86.9461111111111</v>
      </c>
      <c r="M615" s="5">
        <f t="shared" si="28"/>
        <v>24.5301791712105</v>
      </c>
      <c r="N615" s="5">
        <f t="shared" si="29"/>
        <v>1.30870830978036</v>
      </c>
      <c r="O615">
        <v>1.5</v>
      </c>
      <c r="P615">
        <v>1519.236</v>
      </c>
      <c r="Q615" s="5">
        <f t="shared" si="17"/>
        <v>1520.92170830978</v>
      </c>
      <c r="U615">
        <v>259.3597222</v>
      </c>
      <c r="W615" s="29">
        <f t="shared" si="48"/>
        <v>355536.843836222</v>
      </c>
      <c r="X615" s="29">
        <f t="shared" si="49"/>
        <v>355751.956</v>
      </c>
    </row>
    <row r="616" ht="14.25" customHeight="1" spans="1:24">
      <c r="A616" s="10" t="s">
        <v>643</v>
      </c>
      <c r="B616">
        <v>1.254</v>
      </c>
      <c r="C616">
        <v>1.127</v>
      </c>
      <c r="D616">
        <v>1</v>
      </c>
      <c r="E616">
        <v>219</v>
      </c>
      <c r="F616">
        <v>25</v>
      </c>
      <c r="G616">
        <v>33</v>
      </c>
      <c r="H616" s="5">
        <f t="shared" si="0"/>
        <v>219.425833333333</v>
      </c>
      <c r="I616">
        <v>85</v>
      </c>
      <c r="J616">
        <v>59</v>
      </c>
      <c r="K616">
        <v>17</v>
      </c>
      <c r="L616" s="5">
        <f t="shared" si="1"/>
        <v>85.9880555555556</v>
      </c>
      <c r="M616" s="5">
        <f t="shared" si="28"/>
        <v>25.2756664395445</v>
      </c>
      <c r="N616" s="5">
        <f t="shared" si="29"/>
        <v>1.77274183154605</v>
      </c>
      <c r="O616">
        <v>1.5</v>
      </c>
      <c r="P616">
        <v>1519.236</v>
      </c>
      <c r="Q616" s="5">
        <f t="shared" si="17"/>
        <v>1521.38174183155</v>
      </c>
      <c r="U616">
        <v>260.3597222</v>
      </c>
      <c r="W616" s="29">
        <f t="shared" si="48"/>
        <v>355535.628775754</v>
      </c>
      <c r="X616" s="29">
        <f t="shared" si="49"/>
        <v>355751.956</v>
      </c>
    </row>
    <row r="617" ht="14.25" customHeight="1" spans="1:24">
      <c r="A617" s="10" t="s">
        <v>644</v>
      </c>
      <c r="B617">
        <v>0.76</v>
      </c>
      <c r="C617">
        <v>0.63</v>
      </c>
      <c r="D617">
        <v>0.5</v>
      </c>
      <c r="E617">
        <v>219</v>
      </c>
      <c r="F617">
        <v>54</v>
      </c>
      <c r="G617">
        <v>55</v>
      </c>
      <c r="H617" s="5">
        <f t="shared" si="0"/>
        <v>219.915277777778</v>
      </c>
      <c r="I617">
        <v>86</v>
      </c>
      <c r="J617">
        <v>17</v>
      </c>
      <c r="K617">
        <v>40</v>
      </c>
      <c r="L617" s="5">
        <f t="shared" si="1"/>
        <v>86.2944444444444</v>
      </c>
      <c r="M617" s="5">
        <f t="shared" si="28"/>
        <v>25.8914001708622</v>
      </c>
      <c r="N617" s="5">
        <f t="shared" si="29"/>
        <v>1.67684275789183</v>
      </c>
      <c r="O617">
        <v>1.5</v>
      </c>
      <c r="P617">
        <v>1519.236</v>
      </c>
      <c r="Q617" s="5">
        <f t="shared" si="17"/>
        <v>1521.78284275789</v>
      </c>
      <c r="U617">
        <v>261.3597222</v>
      </c>
      <c r="W617" s="29">
        <f t="shared" si="48"/>
        <v>355534.536537094</v>
      </c>
      <c r="X617" s="29">
        <f t="shared" si="49"/>
        <v>355751.956</v>
      </c>
    </row>
    <row r="618" ht="14.25" customHeight="1" spans="1:24">
      <c r="A618" s="10" t="s">
        <v>645</v>
      </c>
      <c r="B618">
        <v>0.568</v>
      </c>
      <c r="C618">
        <v>0.434</v>
      </c>
      <c r="D618">
        <v>0.3</v>
      </c>
      <c r="E618">
        <v>220</v>
      </c>
      <c r="F618">
        <v>24</v>
      </c>
      <c r="G618">
        <v>4</v>
      </c>
      <c r="H618" s="5">
        <f t="shared" si="0"/>
        <v>220.401111111111</v>
      </c>
      <c r="I618">
        <v>86</v>
      </c>
      <c r="J618">
        <v>0</v>
      </c>
      <c r="K618">
        <v>22</v>
      </c>
      <c r="L618" s="5">
        <f t="shared" si="1"/>
        <v>86.0061111111111</v>
      </c>
      <c r="M618" s="5">
        <f t="shared" si="28"/>
        <v>26.6699896401663</v>
      </c>
      <c r="N618" s="5">
        <f t="shared" si="29"/>
        <v>1.86208886734181</v>
      </c>
      <c r="O618">
        <v>1.5</v>
      </c>
      <c r="P618">
        <v>1519.236</v>
      </c>
      <c r="Q618" s="5">
        <f t="shared" si="17"/>
        <v>1522.16408886734</v>
      </c>
      <c r="U618">
        <v>262.3597222</v>
      </c>
      <c r="W618" s="29">
        <f t="shared" si="48"/>
        <v>355533.51153903</v>
      </c>
      <c r="X618" s="29">
        <f t="shared" si="49"/>
        <v>355751.956</v>
      </c>
    </row>
    <row r="619" ht="14.25" customHeight="1" spans="1:24">
      <c r="A619" s="10" t="s">
        <v>646</v>
      </c>
      <c r="B619">
        <v>0.874</v>
      </c>
      <c r="C619">
        <v>0.737</v>
      </c>
      <c r="D619">
        <v>0.6</v>
      </c>
      <c r="E619">
        <v>222</v>
      </c>
      <c r="F619">
        <v>45</v>
      </c>
      <c r="G619">
        <v>7</v>
      </c>
      <c r="H619" s="5">
        <f t="shared" si="0"/>
        <v>222.751944444444</v>
      </c>
      <c r="I619">
        <v>84</v>
      </c>
      <c r="J619">
        <v>48</v>
      </c>
      <c r="K619">
        <v>44</v>
      </c>
      <c r="L619" s="5">
        <f t="shared" si="1"/>
        <v>84.8122222222222</v>
      </c>
      <c r="M619" s="5">
        <f t="shared" si="28"/>
        <v>27.1759830426018</v>
      </c>
      <c r="N619" s="5">
        <f t="shared" si="29"/>
        <v>2.46736317462772</v>
      </c>
      <c r="O619">
        <v>1.5</v>
      </c>
      <c r="P619">
        <v>1519.236</v>
      </c>
      <c r="Q619" s="5">
        <f t="shared" si="17"/>
        <v>1522.46636317463</v>
      </c>
      <c r="U619">
        <v>263.3597222</v>
      </c>
      <c r="W619" s="29">
        <f t="shared" si="48"/>
        <v>355530.698337595</v>
      </c>
      <c r="X619" s="29">
        <f t="shared" si="49"/>
        <v>355751.956</v>
      </c>
    </row>
    <row r="620" ht="14.25" customHeight="1" spans="1:24">
      <c r="A620" s="10" t="s">
        <v>647</v>
      </c>
      <c r="B620">
        <v>1.33</v>
      </c>
      <c r="C620">
        <v>1.165</v>
      </c>
      <c r="D620">
        <v>1</v>
      </c>
      <c r="E620">
        <v>233</v>
      </c>
      <c r="F620">
        <v>31</v>
      </c>
      <c r="G620">
        <v>45</v>
      </c>
      <c r="H620" s="5">
        <f t="shared" si="0"/>
        <v>233.529166666667</v>
      </c>
      <c r="I620">
        <v>84</v>
      </c>
      <c r="J620">
        <v>53</v>
      </c>
      <c r="K620">
        <v>42</v>
      </c>
      <c r="L620" s="5">
        <f t="shared" si="1"/>
        <v>84.895</v>
      </c>
      <c r="M620" s="5">
        <f t="shared" si="28"/>
        <v>32.7387173167149</v>
      </c>
      <c r="N620" s="5">
        <f t="shared" si="29"/>
        <v>2.92473245063973</v>
      </c>
      <c r="O620">
        <v>1.5</v>
      </c>
      <c r="P620">
        <v>1519.236</v>
      </c>
      <c r="Q620" s="5">
        <f t="shared" si="17"/>
        <v>1522.49573245064</v>
      </c>
      <c r="U620">
        <v>264.3597222</v>
      </c>
      <c r="W620" s="29">
        <f t="shared" si="48"/>
        <v>355519.557451883</v>
      </c>
      <c r="X620" s="29">
        <f t="shared" si="49"/>
        <v>355751.956</v>
      </c>
    </row>
    <row r="621" ht="14.25" customHeight="1" spans="1:24">
      <c r="A621" s="10" t="s">
        <v>648</v>
      </c>
      <c r="B621">
        <v>1.33</v>
      </c>
      <c r="C621">
        <v>1.165</v>
      </c>
      <c r="D621">
        <v>1</v>
      </c>
      <c r="E621">
        <v>234</v>
      </c>
      <c r="F621">
        <v>25</v>
      </c>
      <c r="G621">
        <v>48</v>
      </c>
      <c r="H621" s="5">
        <f t="shared" si="0"/>
        <v>234.43</v>
      </c>
      <c r="I621">
        <v>85</v>
      </c>
      <c r="J621">
        <v>28</v>
      </c>
      <c r="K621">
        <v>1</v>
      </c>
      <c r="L621" s="5">
        <f t="shared" si="1"/>
        <v>85.4669444444445</v>
      </c>
      <c r="M621" s="5">
        <f t="shared" si="28"/>
        <v>32.7938684733776</v>
      </c>
      <c r="N621" s="5">
        <f t="shared" si="29"/>
        <v>2.59997118681578</v>
      </c>
      <c r="O621">
        <v>1.5</v>
      </c>
      <c r="P621">
        <v>1519.236</v>
      </c>
      <c r="Q621" s="5">
        <f t="shared" si="17"/>
        <v>1522.17097118682</v>
      </c>
      <c r="U621">
        <v>265.3597222</v>
      </c>
      <c r="W621" s="29">
        <f t="shared" si="48"/>
        <v>355518.294402005</v>
      </c>
      <c r="X621" s="29">
        <f t="shared" si="49"/>
        <v>355751.956</v>
      </c>
    </row>
    <row r="622" ht="14.25" customHeight="1" spans="1:24">
      <c r="A622" s="10" t="s">
        <v>649</v>
      </c>
      <c r="B622">
        <v>1.232</v>
      </c>
      <c r="C622">
        <v>1.161</v>
      </c>
      <c r="D622">
        <v>1</v>
      </c>
      <c r="E622">
        <v>235</v>
      </c>
      <c r="F622">
        <v>11</v>
      </c>
      <c r="G622">
        <v>58</v>
      </c>
      <c r="H622" s="5">
        <f t="shared" si="0"/>
        <v>235.199444444444</v>
      </c>
      <c r="I622">
        <v>86</v>
      </c>
      <c r="J622">
        <v>3</v>
      </c>
      <c r="K622">
        <v>32</v>
      </c>
      <c r="L622" s="5">
        <f t="shared" si="1"/>
        <v>86.0588888888889</v>
      </c>
      <c r="M622" s="5">
        <f t="shared" si="28"/>
        <v>23.0904039186784</v>
      </c>
      <c r="N622" s="5">
        <f t="shared" si="29"/>
        <v>1.59079155945056</v>
      </c>
      <c r="O622">
        <v>1.5</v>
      </c>
      <c r="P622">
        <v>1519.236</v>
      </c>
      <c r="Q622" s="5">
        <f t="shared" si="17"/>
        <v>1521.16579155945</v>
      </c>
      <c r="U622">
        <v>266.3597222</v>
      </c>
      <c r="W622" s="29">
        <f t="shared" si="48"/>
        <v>355517.231107744</v>
      </c>
      <c r="X622" s="29">
        <f t="shared" si="49"/>
        <v>355751.956</v>
      </c>
    </row>
    <row r="623" ht="14.25" customHeight="1" spans="1:24">
      <c r="A623" s="10" t="s">
        <v>650</v>
      </c>
      <c r="B623">
        <v>1.32</v>
      </c>
      <c r="C623">
        <v>1.16</v>
      </c>
      <c r="D623">
        <v>1</v>
      </c>
      <c r="E623">
        <v>236</v>
      </c>
      <c r="F623">
        <v>4</v>
      </c>
      <c r="G623">
        <v>18</v>
      </c>
      <c r="H623" s="5">
        <f t="shared" si="0"/>
        <v>236.071666666667</v>
      </c>
      <c r="I623">
        <v>86</v>
      </c>
      <c r="J623">
        <v>45</v>
      </c>
      <c r="K623">
        <v>44</v>
      </c>
      <c r="L623" s="5">
        <f t="shared" si="1"/>
        <v>86.7622222222222</v>
      </c>
      <c r="M623" s="5">
        <f t="shared" si="28"/>
        <v>31.8979209891481</v>
      </c>
      <c r="N623" s="5">
        <f t="shared" si="29"/>
        <v>1.80446895867034</v>
      </c>
      <c r="O623">
        <v>1.5</v>
      </c>
      <c r="P623">
        <v>1519.236</v>
      </c>
      <c r="Q623" s="5">
        <f t="shared" si="17"/>
        <v>1521.38046895867</v>
      </c>
      <c r="U623">
        <v>267.3597222</v>
      </c>
      <c r="W623" s="29">
        <f t="shared" si="48"/>
        <v>355516.134939059</v>
      </c>
      <c r="X623" s="29">
        <f t="shared" si="49"/>
        <v>355751.956</v>
      </c>
    </row>
    <row r="624" ht="14.25" customHeight="1" spans="1:24">
      <c r="A624" s="10" t="s">
        <v>651</v>
      </c>
      <c r="B624">
        <v>1.336</v>
      </c>
      <c r="C624">
        <v>1.162</v>
      </c>
      <c r="D624">
        <v>1</v>
      </c>
      <c r="E624">
        <v>236</v>
      </c>
      <c r="F624">
        <v>55</v>
      </c>
      <c r="G624">
        <v>45</v>
      </c>
      <c r="H624" s="5">
        <f t="shared" si="0"/>
        <v>236.929166666667</v>
      </c>
      <c r="I624">
        <v>87</v>
      </c>
      <c r="J624">
        <v>31</v>
      </c>
      <c r="K624">
        <v>13</v>
      </c>
      <c r="L624" s="5">
        <f t="shared" si="1"/>
        <v>87.5202777777778</v>
      </c>
      <c r="M624" s="5">
        <f t="shared" si="28"/>
        <v>33.537103148682</v>
      </c>
      <c r="N624" s="5">
        <f t="shared" si="29"/>
        <v>1.45236985316401</v>
      </c>
      <c r="O624">
        <v>1.5</v>
      </c>
      <c r="P624">
        <v>1519.236</v>
      </c>
      <c r="Q624" s="5">
        <f t="shared" si="17"/>
        <v>1521.02636985316</v>
      </c>
      <c r="U624">
        <v>268.3597222</v>
      </c>
      <c r="W624" s="29">
        <f t="shared" si="48"/>
        <v>355515.123917499</v>
      </c>
      <c r="X624" s="29">
        <f t="shared" si="49"/>
        <v>355751.956</v>
      </c>
    </row>
    <row r="625" ht="14.25" customHeight="1" spans="1:24">
      <c r="A625" s="10" t="s">
        <v>652</v>
      </c>
      <c r="B625">
        <v>1.31</v>
      </c>
      <c r="C625">
        <v>1.155</v>
      </c>
      <c r="D625">
        <v>1</v>
      </c>
      <c r="E625">
        <v>237</v>
      </c>
      <c r="F625">
        <v>48</v>
      </c>
      <c r="G625">
        <v>37</v>
      </c>
      <c r="H625" s="5">
        <f t="shared" si="0"/>
        <v>237.810277777778</v>
      </c>
      <c r="I625">
        <v>88</v>
      </c>
      <c r="J625">
        <v>20</v>
      </c>
      <c r="K625">
        <v>19</v>
      </c>
      <c r="L625" s="5">
        <f t="shared" si="1"/>
        <v>88.3386111111111</v>
      </c>
      <c r="M625" s="5">
        <f t="shared" si="28"/>
        <v>30.973942226227</v>
      </c>
      <c r="N625" s="5">
        <f t="shared" si="29"/>
        <v>0.898394111395483</v>
      </c>
      <c r="O625">
        <v>1.5</v>
      </c>
      <c r="P625">
        <v>1519.236</v>
      </c>
      <c r="Q625" s="5">
        <f t="shared" si="17"/>
        <v>1520.4793941114</v>
      </c>
      <c r="U625">
        <v>269.3597222</v>
      </c>
      <c r="W625" s="29">
        <f t="shared" si="48"/>
        <v>355514.160570897</v>
      </c>
      <c r="X625" s="29">
        <f t="shared" si="49"/>
        <v>355751.956</v>
      </c>
    </row>
    <row r="626" ht="14.25" customHeight="1" spans="1:24">
      <c r="A626" s="10" t="s">
        <v>653</v>
      </c>
      <c r="B626">
        <v>1.41</v>
      </c>
      <c r="C626">
        <v>1.205</v>
      </c>
      <c r="D626">
        <v>1</v>
      </c>
      <c r="E626">
        <v>241</v>
      </c>
      <c r="F626">
        <v>21</v>
      </c>
      <c r="G626">
        <v>42</v>
      </c>
      <c r="H626" s="5">
        <f t="shared" si="0"/>
        <v>241.361666666667</v>
      </c>
      <c r="I626">
        <v>88</v>
      </c>
      <c r="J626">
        <v>38</v>
      </c>
      <c r="K626">
        <v>10</v>
      </c>
      <c r="L626" s="5">
        <f t="shared" si="1"/>
        <v>88.6361111111111</v>
      </c>
      <c r="M626" s="5">
        <f t="shared" si="28"/>
        <v>40.9767718542478</v>
      </c>
      <c r="N626" s="5">
        <f t="shared" si="29"/>
        <v>0.975609772954426</v>
      </c>
      <c r="O626">
        <v>1.5</v>
      </c>
      <c r="P626">
        <v>1519.236</v>
      </c>
      <c r="Q626" s="5">
        <f t="shared" si="17"/>
        <v>1520.50660977295</v>
      </c>
      <c r="U626">
        <v>270.3597222</v>
      </c>
      <c r="W626" s="29">
        <f t="shared" si="48"/>
        <v>355510.599090257</v>
      </c>
      <c r="X626" s="29">
        <f t="shared" si="49"/>
        <v>355751.956</v>
      </c>
    </row>
    <row r="627" ht="14.25" customHeight="1" spans="1:24">
      <c r="A627" s="10" t="s">
        <v>654</v>
      </c>
      <c r="B627">
        <v>1.408</v>
      </c>
      <c r="C627">
        <v>1.204</v>
      </c>
      <c r="D627">
        <v>1</v>
      </c>
      <c r="E627">
        <v>240</v>
      </c>
      <c r="F627">
        <v>29</v>
      </c>
      <c r="G627">
        <v>33</v>
      </c>
      <c r="H627" s="5">
        <f t="shared" si="0"/>
        <v>240.4925</v>
      </c>
      <c r="I627">
        <v>88</v>
      </c>
      <c r="J627">
        <v>1</v>
      </c>
      <c r="K627">
        <v>20</v>
      </c>
      <c r="L627" s="5">
        <f t="shared" si="1"/>
        <v>88.0222222222222</v>
      </c>
      <c r="M627" s="5">
        <f t="shared" si="28"/>
        <v>40.7514043513252</v>
      </c>
      <c r="N627" s="5">
        <f t="shared" si="29"/>
        <v>1.40724586652776</v>
      </c>
      <c r="O627">
        <v>1.5</v>
      </c>
      <c r="P627">
        <v>1519.236</v>
      </c>
      <c r="Q627" s="5">
        <f t="shared" si="17"/>
        <v>1520.93924586653</v>
      </c>
      <c r="U627">
        <v>271.3597222</v>
      </c>
      <c r="W627" s="29">
        <f t="shared" si="48"/>
        <v>355511.531218338</v>
      </c>
      <c r="X627" s="29">
        <f t="shared" si="49"/>
        <v>355751.956</v>
      </c>
    </row>
    <row r="628" ht="14.25" customHeight="1" spans="1:24">
      <c r="A628" s="10" t="s">
        <v>655</v>
      </c>
      <c r="B628">
        <v>1.41</v>
      </c>
      <c r="C628">
        <v>1.205</v>
      </c>
      <c r="D628">
        <v>1</v>
      </c>
      <c r="E628">
        <v>239</v>
      </c>
      <c r="F628">
        <v>38</v>
      </c>
      <c r="G628">
        <v>9</v>
      </c>
      <c r="H628" s="5">
        <f t="shared" si="0"/>
        <v>239.635833333333</v>
      </c>
      <c r="I628">
        <v>87</v>
      </c>
      <c r="J628">
        <v>26</v>
      </c>
      <c r="K628">
        <v>33</v>
      </c>
      <c r="L628" s="5">
        <f t="shared" si="1"/>
        <v>87.4425</v>
      </c>
      <c r="M628" s="5">
        <f t="shared" si="28"/>
        <v>40.9183640554973</v>
      </c>
      <c r="N628" s="5">
        <f t="shared" si="29"/>
        <v>1.82767866354414</v>
      </c>
      <c r="O628">
        <v>1.5</v>
      </c>
      <c r="P628">
        <v>1519.236</v>
      </c>
      <c r="Q628" s="5">
        <f t="shared" si="17"/>
        <v>1521.35867866354</v>
      </c>
      <c r="U628">
        <v>272.3597222</v>
      </c>
      <c r="W628" s="29">
        <f t="shared" si="48"/>
        <v>355512.523372832</v>
      </c>
      <c r="X628" s="29">
        <f t="shared" si="49"/>
        <v>355751.956</v>
      </c>
    </row>
    <row r="629" ht="14.25" customHeight="1" spans="1:24">
      <c r="A629" s="10" t="s">
        <v>656</v>
      </c>
      <c r="B629">
        <v>1.41</v>
      </c>
      <c r="C629">
        <v>1.205</v>
      </c>
      <c r="D629">
        <v>1</v>
      </c>
      <c r="E629">
        <v>238</v>
      </c>
      <c r="F629">
        <v>48</v>
      </c>
      <c r="G629">
        <v>9</v>
      </c>
      <c r="H629" s="5">
        <f t="shared" si="0"/>
        <v>238.8025</v>
      </c>
      <c r="I629">
        <v>86</v>
      </c>
      <c r="J629">
        <v>53</v>
      </c>
      <c r="K629">
        <v>48</v>
      </c>
      <c r="L629" s="5">
        <f t="shared" si="1"/>
        <v>86.8966666666667</v>
      </c>
      <c r="M629" s="5">
        <f t="shared" si="28"/>
        <v>40.8798370144138</v>
      </c>
      <c r="N629" s="5">
        <f t="shared" si="29"/>
        <v>2.21635810868406</v>
      </c>
      <c r="O629">
        <v>1.5</v>
      </c>
      <c r="P629">
        <v>1519.236</v>
      </c>
      <c r="Q629" s="5">
        <f t="shared" si="17"/>
        <v>1521.74735810868</v>
      </c>
      <c r="U629">
        <v>273.3597222</v>
      </c>
      <c r="W629" s="29">
        <f t="shared" si="48"/>
        <v>355513.563936439</v>
      </c>
      <c r="X629" s="29">
        <f t="shared" si="49"/>
        <v>355751.956</v>
      </c>
    </row>
    <row r="630" ht="14.25" customHeight="1" spans="1:24">
      <c r="A630" s="10" t="s">
        <v>657</v>
      </c>
      <c r="B630">
        <v>1.412</v>
      </c>
      <c r="C630">
        <v>1.207</v>
      </c>
      <c r="D630">
        <v>1</v>
      </c>
      <c r="E630">
        <v>237</v>
      </c>
      <c r="F630">
        <v>57</v>
      </c>
      <c r="G630">
        <v>58</v>
      </c>
      <c r="H630" s="5">
        <f t="shared" si="0"/>
        <v>237.966111111111</v>
      </c>
      <c r="I630">
        <v>86</v>
      </c>
      <c r="J630">
        <v>21</v>
      </c>
      <c r="K630">
        <v>16</v>
      </c>
      <c r="L630" s="5">
        <f t="shared" si="1"/>
        <v>86.3544444444444</v>
      </c>
      <c r="M630" s="5">
        <f t="shared" si="28"/>
        <v>41.0334313561954</v>
      </c>
      <c r="N630" s="5">
        <f t="shared" si="29"/>
        <v>2.61436091839894</v>
      </c>
      <c r="O630">
        <v>1.5</v>
      </c>
      <c r="P630">
        <v>1519.236</v>
      </c>
      <c r="Q630" s="5">
        <f t="shared" si="17"/>
        <v>1522.1433609184</v>
      </c>
      <c r="U630">
        <v>274.3597222</v>
      </c>
      <c r="W630" s="29">
        <f t="shared" si="48"/>
        <v>355514.678458639</v>
      </c>
      <c r="X630" s="29">
        <f t="shared" si="49"/>
        <v>355751.956</v>
      </c>
    </row>
    <row r="631" ht="14.25" customHeight="1" spans="1:24">
      <c r="A631" s="10" t="s">
        <v>658</v>
      </c>
      <c r="B631">
        <v>1.41</v>
      </c>
      <c r="C631">
        <v>1.205</v>
      </c>
      <c r="D631">
        <v>1</v>
      </c>
      <c r="E631">
        <v>237</v>
      </c>
      <c r="F631">
        <v>4</v>
      </c>
      <c r="G631">
        <v>2</v>
      </c>
      <c r="H631" s="5">
        <f t="shared" si="0"/>
        <v>237.067222222222</v>
      </c>
      <c r="I631">
        <v>85</v>
      </c>
      <c r="J631">
        <v>51</v>
      </c>
      <c r="K631">
        <v>58</v>
      </c>
      <c r="L631" s="5">
        <f t="shared" si="1"/>
        <v>85.8661111111111</v>
      </c>
      <c r="M631" s="5">
        <f t="shared" si="28"/>
        <v>40.786939731736</v>
      </c>
      <c r="N631" s="5">
        <f t="shared" si="29"/>
        <v>2.94789353961621</v>
      </c>
      <c r="O631">
        <v>1.5</v>
      </c>
      <c r="P631">
        <v>1519.236</v>
      </c>
      <c r="Q631" s="5">
        <f t="shared" si="17"/>
        <v>1522.47889353962</v>
      </c>
      <c r="U631">
        <v>275.3597222</v>
      </c>
      <c r="W631" s="29">
        <f t="shared" si="48"/>
        <v>355515.925265347</v>
      </c>
      <c r="X631" s="29">
        <f t="shared" si="49"/>
        <v>355751.956</v>
      </c>
    </row>
    <row r="632" ht="14.25" customHeight="1" spans="1:24">
      <c r="A632" s="10" t="s">
        <v>659</v>
      </c>
      <c r="B632">
        <v>1.882</v>
      </c>
      <c r="C632">
        <v>1.791</v>
      </c>
      <c r="D632">
        <v>1.7</v>
      </c>
      <c r="E632">
        <v>254</v>
      </c>
      <c r="F632">
        <v>26</v>
      </c>
      <c r="G632">
        <v>51</v>
      </c>
      <c r="H632" s="5">
        <f t="shared" si="0"/>
        <v>254.4475</v>
      </c>
      <c r="I632">
        <v>91</v>
      </c>
      <c r="J632">
        <v>33</v>
      </c>
      <c r="K632">
        <v>43</v>
      </c>
      <c r="L632" s="5">
        <f t="shared" si="1"/>
        <v>91.5619444444444</v>
      </c>
      <c r="M632" s="5">
        <f t="shared" si="28"/>
        <v>18.1864777269362</v>
      </c>
      <c r="N632" s="5">
        <f t="shared" si="29"/>
        <v>-0.495905755050507</v>
      </c>
      <c r="O632">
        <v>1.5</v>
      </c>
      <c r="P632">
        <v>1519.236</v>
      </c>
      <c r="Q632" s="5">
        <f t="shared" si="17"/>
        <v>1518.44909424495</v>
      </c>
      <c r="U632">
        <v>276.3597222</v>
      </c>
      <c r="W632" s="29">
        <f t="shared" si="48"/>
        <v>355499.074361267</v>
      </c>
      <c r="X632" s="29">
        <f t="shared" si="49"/>
        <v>355751.956</v>
      </c>
    </row>
    <row r="633" ht="14.25" customHeight="1" spans="1:24">
      <c r="A633" s="10" t="s">
        <v>660</v>
      </c>
      <c r="B633">
        <v>2.296</v>
      </c>
      <c r="C633">
        <v>2.198</v>
      </c>
      <c r="D633">
        <v>2.1</v>
      </c>
      <c r="E633">
        <v>295</v>
      </c>
      <c r="F633">
        <v>18</v>
      </c>
      <c r="G633">
        <v>10</v>
      </c>
      <c r="H633" s="5">
        <f t="shared" si="0"/>
        <v>295.302777777778</v>
      </c>
      <c r="I633">
        <v>91</v>
      </c>
      <c r="J633">
        <v>40</v>
      </c>
      <c r="K633">
        <v>11</v>
      </c>
      <c r="L633" s="5">
        <f t="shared" si="1"/>
        <v>91.6697222222222</v>
      </c>
      <c r="M633" s="5">
        <f t="shared" si="28"/>
        <v>19.5833591190449</v>
      </c>
      <c r="N633" s="5">
        <f t="shared" si="29"/>
        <v>-0.570862809964381</v>
      </c>
      <c r="O633">
        <v>1.5</v>
      </c>
      <c r="P633">
        <v>1519.236</v>
      </c>
      <c r="Q633" s="5">
        <f t="shared" si="17"/>
        <v>1517.96713719004</v>
      </c>
      <c r="U633">
        <v>277.3597222</v>
      </c>
      <c r="W633" s="29">
        <f t="shared" si="48"/>
        <v>355459.086086554</v>
      </c>
      <c r="X633" s="29">
        <f t="shared" si="49"/>
        <v>355751.956</v>
      </c>
    </row>
    <row r="634" ht="14.25" customHeight="1" spans="1:24">
      <c r="A634" s="10" t="s">
        <v>661</v>
      </c>
      <c r="B634">
        <v>2.228</v>
      </c>
      <c r="C634">
        <v>2.114</v>
      </c>
      <c r="D634">
        <v>2</v>
      </c>
      <c r="E634">
        <v>252</v>
      </c>
      <c r="F634">
        <v>37</v>
      </c>
      <c r="G634">
        <v>49</v>
      </c>
      <c r="H634" s="5">
        <f t="shared" si="0"/>
        <v>252.630277777778</v>
      </c>
      <c r="I634">
        <v>91</v>
      </c>
      <c r="J634">
        <v>39</v>
      </c>
      <c r="K634">
        <v>53</v>
      </c>
      <c r="L634" s="5">
        <f t="shared" si="1"/>
        <v>91.6647222222222</v>
      </c>
      <c r="M634" s="5">
        <f t="shared" si="28"/>
        <v>22.7807579683738</v>
      </c>
      <c r="N634" s="5">
        <f t="shared" si="29"/>
        <v>-0.66207859450205</v>
      </c>
      <c r="O634">
        <v>1.5</v>
      </c>
      <c r="P634">
        <v>1519.236</v>
      </c>
      <c r="Q634" s="5">
        <f t="shared" si="17"/>
        <v>1517.9599214055</v>
      </c>
      <c r="U634">
        <v>278.3597222</v>
      </c>
      <c r="W634" s="29">
        <f t="shared" si="48"/>
        <v>355502.009974022</v>
      </c>
      <c r="X634" s="29">
        <f t="shared" si="49"/>
        <v>355751.956</v>
      </c>
    </row>
    <row r="635" ht="14.25" customHeight="1" spans="1:24">
      <c r="A635" s="10" t="s">
        <v>662</v>
      </c>
      <c r="B635">
        <v>4.054</v>
      </c>
      <c r="C635">
        <v>3.927</v>
      </c>
      <c r="D635">
        <v>3.8</v>
      </c>
      <c r="E635">
        <v>257</v>
      </c>
      <c r="F635">
        <v>49</v>
      </c>
      <c r="G635">
        <v>56</v>
      </c>
      <c r="H635" s="5">
        <f t="shared" si="0"/>
        <v>257.832222222222</v>
      </c>
      <c r="I635">
        <v>87</v>
      </c>
      <c r="J635">
        <v>22</v>
      </c>
      <c r="K635">
        <v>49</v>
      </c>
      <c r="L635" s="5">
        <f t="shared" si="1"/>
        <v>87.3802777777778</v>
      </c>
      <c r="M635" s="5">
        <f t="shared" si="28"/>
        <v>25.3469364529073</v>
      </c>
      <c r="N635" s="5">
        <f t="shared" si="29"/>
        <v>1.15974064174916</v>
      </c>
      <c r="O635">
        <v>1.5</v>
      </c>
      <c r="P635">
        <v>1519.236</v>
      </c>
      <c r="Q635" s="5">
        <f t="shared" si="17"/>
        <v>1517.96874064175</v>
      </c>
      <c r="U635">
        <v>279.3597222</v>
      </c>
      <c r="W635" s="29">
        <f t="shared" si="48"/>
        <v>355497.556367085</v>
      </c>
      <c r="X635" s="29">
        <f t="shared" si="49"/>
        <v>355751.956</v>
      </c>
    </row>
    <row r="636" ht="14.25" customHeight="1" spans="1:24">
      <c r="A636" s="10" t="s">
        <v>663</v>
      </c>
      <c r="B636">
        <v>4.064</v>
      </c>
      <c r="C636">
        <v>3.932</v>
      </c>
      <c r="D636">
        <v>3.8</v>
      </c>
      <c r="E636">
        <v>257</v>
      </c>
      <c r="F636">
        <v>48</v>
      </c>
      <c r="G636">
        <v>7</v>
      </c>
      <c r="H636" s="5">
        <f t="shared" si="0"/>
        <v>257.801944444444</v>
      </c>
      <c r="I636">
        <v>87</v>
      </c>
      <c r="J636">
        <v>25</v>
      </c>
      <c r="K636">
        <v>10</v>
      </c>
      <c r="L636" s="5">
        <f t="shared" si="1"/>
        <v>87.4194444444445</v>
      </c>
      <c r="M636" s="5">
        <f t="shared" si="28"/>
        <v>26.3464830432752</v>
      </c>
      <c r="N636" s="5">
        <f t="shared" si="29"/>
        <v>1.18742730003888</v>
      </c>
      <c r="O636">
        <v>1.5</v>
      </c>
      <c r="P636">
        <v>1519.236</v>
      </c>
      <c r="Q636" s="5">
        <f t="shared" si="17"/>
        <v>1517.99142730004</v>
      </c>
      <c r="U636">
        <v>280.3597222</v>
      </c>
      <c r="W636" s="29">
        <f t="shared" si="48"/>
        <v>355498.356709586</v>
      </c>
      <c r="X636" s="29">
        <f t="shared" si="49"/>
        <v>355751.956</v>
      </c>
    </row>
    <row r="637" ht="14.25" customHeight="1" spans="1:24">
      <c r="A637" s="10" t="s">
        <v>664</v>
      </c>
      <c r="B637">
        <v>3.486</v>
      </c>
      <c r="C637">
        <v>3.343</v>
      </c>
      <c r="D637">
        <v>3.2</v>
      </c>
      <c r="E637">
        <v>254</v>
      </c>
      <c r="F637">
        <v>30</v>
      </c>
      <c r="G637">
        <v>3</v>
      </c>
      <c r="H637" s="5">
        <f t="shared" si="0"/>
        <v>254.500833333333</v>
      </c>
      <c r="I637">
        <v>88</v>
      </c>
      <c r="J637">
        <v>50</v>
      </c>
      <c r="K637">
        <v>13</v>
      </c>
      <c r="L637" s="5">
        <f t="shared" si="1"/>
        <v>88.8369444444444</v>
      </c>
      <c r="M637" s="5">
        <f t="shared" si="28"/>
        <v>28.5882168328989</v>
      </c>
      <c r="N637" s="5">
        <f t="shared" si="29"/>
        <v>0.580396188879346</v>
      </c>
      <c r="O637">
        <v>1.5</v>
      </c>
      <c r="P637">
        <v>1519.236</v>
      </c>
      <c r="Q637" s="5">
        <f t="shared" si="17"/>
        <v>1517.97339618888</v>
      </c>
      <c r="U637">
        <v>281.3597222</v>
      </c>
      <c r="W637" s="29">
        <f t="shared" ref="W637:W683" si="50">$S$604+(H637*SIN(U637*3.141592654/180))</f>
        <v>355502.440868158</v>
      </c>
      <c r="X637" s="29">
        <f t="shared" ref="X637:X683" si="51">$S$604+(I637*SIN(V637*3.141592654/180))</f>
        <v>355751.956</v>
      </c>
    </row>
    <row r="638" ht="14.25" customHeight="1" spans="1:24">
      <c r="A638" s="10" t="s">
        <v>665</v>
      </c>
      <c r="B638">
        <v>3.72</v>
      </c>
      <c r="C638">
        <v>3.56</v>
      </c>
      <c r="D638">
        <v>3.4</v>
      </c>
      <c r="E638">
        <v>255</v>
      </c>
      <c r="F638">
        <v>41</v>
      </c>
      <c r="G638">
        <v>41</v>
      </c>
      <c r="H638" s="5">
        <f t="shared" si="0"/>
        <v>255.694722222222</v>
      </c>
      <c r="I638">
        <v>88</v>
      </c>
      <c r="J638">
        <v>36</v>
      </c>
      <c r="K638">
        <v>0</v>
      </c>
      <c r="L638" s="5">
        <f t="shared" si="1"/>
        <v>88.6</v>
      </c>
      <c r="M638" s="5">
        <f t="shared" si="28"/>
        <v>31.980898197463</v>
      </c>
      <c r="N638" s="5">
        <f t="shared" si="29"/>
        <v>0.781596316729816</v>
      </c>
      <c r="O638">
        <v>1.5</v>
      </c>
      <c r="P638">
        <v>1519.236</v>
      </c>
      <c r="Q638" s="5">
        <f t="shared" si="17"/>
        <v>1517.95759631673</v>
      </c>
      <c r="U638">
        <v>282.3597222</v>
      </c>
      <c r="W638" s="29">
        <f t="shared" si="50"/>
        <v>355502.187516516</v>
      </c>
      <c r="X638" s="29">
        <f t="shared" si="51"/>
        <v>355751.956</v>
      </c>
    </row>
    <row r="639" ht="14.25" customHeight="1" spans="1:24">
      <c r="A639" s="10" t="s">
        <v>666</v>
      </c>
      <c r="B639">
        <v>4.842</v>
      </c>
      <c r="C639">
        <v>4.671</v>
      </c>
      <c r="D639">
        <v>4.5</v>
      </c>
      <c r="E639">
        <v>267</v>
      </c>
      <c r="F639">
        <v>29</v>
      </c>
      <c r="G639">
        <v>6</v>
      </c>
      <c r="H639" s="5">
        <f t="shared" si="0"/>
        <v>267.485</v>
      </c>
      <c r="I639">
        <v>86</v>
      </c>
      <c r="J639">
        <v>50</v>
      </c>
      <c r="K639">
        <v>40</v>
      </c>
      <c r="L639" s="5">
        <f t="shared" si="1"/>
        <v>86.8444444444444</v>
      </c>
      <c r="M639" s="5">
        <f t="shared" si="28"/>
        <v>34.0963681259311</v>
      </c>
      <c r="N639" s="5">
        <f t="shared" si="29"/>
        <v>1.87975278370089</v>
      </c>
      <c r="O639">
        <v>1.5</v>
      </c>
      <c r="P639">
        <v>1519.236</v>
      </c>
      <c r="Q639" s="5">
        <f t="shared" si="17"/>
        <v>1517.9447527837</v>
      </c>
      <c r="U639">
        <v>283.3597222</v>
      </c>
      <c r="W639" s="29">
        <f t="shared" si="50"/>
        <v>355491.709531451</v>
      </c>
      <c r="X639" s="29">
        <f t="shared" si="51"/>
        <v>355751.956</v>
      </c>
    </row>
    <row r="640" ht="14.25" customHeight="1" spans="1:24">
      <c r="A640" s="10" t="s">
        <v>667</v>
      </c>
      <c r="B640">
        <v>4.32</v>
      </c>
      <c r="C640">
        <v>4.16</v>
      </c>
      <c r="D640">
        <v>4</v>
      </c>
      <c r="E640">
        <v>272</v>
      </c>
      <c r="F640">
        <v>24</v>
      </c>
      <c r="G640">
        <v>59</v>
      </c>
      <c r="H640" s="5">
        <f t="shared" si="0"/>
        <v>272.416388888889</v>
      </c>
      <c r="I640">
        <v>87</v>
      </c>
      <c r="J640">
        <v>29</v>
      </c>
      <c r="K640">
        <v>46</v>
      </c>
      <c r="L640" s="5">
        <f t="shared" si="1"/>
        <v>87.4961111111111</v>
      </c>
      <c r="M640" s="5">
        <f t="shared" si="28"/>
        <v>31.9389257233615</v>
      </c>
      <c r="N640" s="5">
        <f t="shared" si="29"/>
        <v>1.39665557141511</v>
      </c>
      <c r="O640">
        <v>1.5</v>
      </c>
      <c r="P640">
        <v>1519.236</v>
      </c>
      <c r="Q640" s="5">
        <f t="shared" si="17"/>
        <v>1517.97265557142</v>
      </c>
      <c r="U640">
        <v>284.3597222</v>
      </c>
      <c r="W640" s="29">
        <f t="shared" si="50"/>
        <v>355488.050513209</v>
      </c>
      <c r="X640" s="29">
        <f t="shared" si="51"/>
        <v>355751.956</v>
      </c>
    </row>
    <row r="641" ht="14.25" customHeight="1" spans="1:24">
      <c r="A641" s="10" t="s">
        <v>668</v>
      </c>
      <c r="B641">
        <v>3.284</v>
      </c>
      <c r="C641">
        <v>3.142</v>
      </c>
      <c r="D641">
        <v>3</v>
      </c>
      <c r="E641">
        <v>272</v>
      </c>
      <c r="F641">
        <v>58</v>
      </c>
      <c r="G641">
        <v>28</v>
      </c>
      <c r="H641" s="5">
        <f t="shared" si="0"/>
        <v>272.974444444444</v>
      </c>
      <c r="I641">
        <v>89</v>
      </c>
      <c r="J641">
        <v>12</v>
      </c>
      <c r="K641">
        <v>19</v>
      </c>
      <c r="L641" s="5">
        <f t="shared" si="1"/>
        <v>89.2052777777778</v>
      </c>
      <c r="M641" s="5">
        <f t="shared" si="28"/>
        <v>28.3945364372218</v>
      </c>
      <c r="N641" s="5">
        <f t="shared" si="29"/>
        <v>0.393872228498089</v>
      </c>
      <c r="O641">
        <v>1.5</v>
      </c>
      <c r="P641">
        <v>1519.236</v>
      </c>
      <c r="Q641" s="5">
        <f t="shared" si="17"/>
        <v>1517.9878722285</v>
      </c>
      <c r="U641">
        <v>285.3597222</v>
      </c>
      <c r="W641" s="29">
        <f t="shared" si="50"/>
        <v>355488.731698656</v>
      </c>
      <c r="X641" s="29">
        <f t="shared" si="51"/>
        <v>355751.956</v>
      </c>
    </row>
    <row r="642" ht="14.25" customHeight="1" spans="1:24">
      <c r="A642" s="10" t="s">
        <v>669</v>
      </c>
      <c r="B642">
        <v>3.75</v>
      </c>
      <c r="C642">
        <v>3.625</v>
      </c>
      <c r="D642">
        <v>3.5</v>
      </c>
      <c r="E642">
        <v>268</v>
      </c>
      <c r="F642">
        <v>54</v>
      </c>
      <c r="G642">
        <v>30</v>
      </c>
      <c r="H642" s="5">
        <f t="shared" si="0"/>
        <v>268.908333333333</v>
      </c>
      <c r="I642">
        <v>87</v>
      </c>
      <c r="J642">
        <v>59</v>
      </c>
      <c r="K642">
        <v>22</v>
      </c>
      <c r="L642" s="5">
        <f t="shared" si="1"/>
        <v>87.9894444444444</v>
      </c>
      <c r="M642" s="5">
        <f t="shared" si="28"/>
        <v>24.9692285023303</v>
      </c>
      <c r="N642" s="5">
        <f t="shared" si="29"/>
        <v>0.876550373152359</v>
      </c>
      <c r="O642">
        <v>1.5</v>
      </c>
      <c r="P642">
        <v>1519.236</v>
      </c>
      <c r="Q642" s="5">
        <f t="shared" si="17"/>
        <v>1517.98755037315</v>
      </c>
      <c r="U642">
        <v>286.3597222</v>
      </c>
      <c r="W642" s="29">
        <f t="shared" si="50"/>
        <v>355493.935168708</v>
      </c>
      <c r="X642" s="29">
        <f t="shared" si="51"/>
        <v>355751.956</v>
      </c>
    </row>
    <row r="643" ht="14.25" customHeight="1" spans="1:24">
      <c r="A643" s="10" t="s">
        <v>670</v>
      </c>
      <c r="B643">
        <v>1.226</v>
      </c>
      <c r="C643">
        <v>1.113</v>
      </c>
      <c r="D643">
        <v>1</v>
      </c>
      <c r="E643">
        <v>272</v>
      </c>
      <c r="F643">
        <v>59</v>
      </c>
      <c r="G643">
        <v>49</v>
      </c>
      <c r="H643" s="5">
        <f t="shared" si="0"/>
        <v>272.996944444444</v>
      </c>
      <c r="I643">
        <v>94</v>
      </c>
      <c r="J643">
        <v>16</v>
      </c>
      <c r="K643">
        <v>28</v>
      </c>
      <c r="L643" s="5">
        <f t="shared" si="1"/>
        <v>94.2744444444444</v>
      </c>
      <c r="M643" s="5">
        <f t="shared" si="28"/>
        <v>22.4744500131621</v>
      </c>
      <c r="N643" s="5">
        <f t="shared" si="29"/>
        <v>-1.67978180230129</v>
      </c>
      <c r="O643">
        <v>1.5</v>
      </c>
      <c r="P643">
        <v>1519.236</v>
      </c>
      <c r="Q643" s="5">
        <f t="shared" si="17"/>
        <v>1517.9432181977</v>
      </c>
      <c r="U643">
        <v>287.3597222</v>
      </c>
      <c r="W643" s="29">
        <f t="shared" si="50"/>
        <v>355491.393981123</v>
      </c>
      <c r="X643" s="29">
        <f t="shared" si="51"/>
        <v>355751.956</v>
      </c>
    </row>
    <row r="644" ht="14.25" customHeight="1" spans="1:24">
      <c r="A644" s="10" t="s">
        <v>671</v>
      </c>
      <c r="B644">
        <v>1.392</v>
      </c>
      <c r="C644">
        <v>1.296</v>
      </c>
      <c r="D644">
        <v>1.2</v>
      </c>
      <c r="E644">
        <v>268</v>
      </c>
      <c r="F644">
        <v>52</v>
      </c>
      <c r="G644">
        <v>11</v>
      </c>
      <c r="H644" s="5">
        <f t="shared" si="0"/>
        <v>268.869722222222</v>
      </c>
      <c r="I644">
        <v>94</v>
      </c>
      <c r="J644">
        <v>20</v>
      </c>
      <c r="K644">
        <v>50</v>
      </c>
      <c r="L644" s="5">
        <f t="shared" si="1"/>
        <v>94.3472222222222</v>
      </c>
      <c r="M644" s="5">
        <f t="shared" si="28"/>
        <v>19.0896820687188</v>
      </c>
      <c r="N644" s="5">
        <f t="shared" si="29"/>
        <v>-1.45118373565733</v>
      </c>
      <c r="O644">
        <v>1.5</v>
      </c>
      <c r="P644">
        <v>1519.236</v>
      </c>
      <c r="Q644" s="5">
        <f t="shared" si="17"/>
        <v>1517.98881626434</v>
      </c>
      <c r="U644">
        <v>288.3597222</v>
      </c>
      <c r="W644" s="29">
        <f t="shared" si="50"/>
        <v>355496.77237257</v>
      </c>
      <c r="X644" s="29">
        <f t="shared" si="51"/>
        <v>355751.956</v>
      </c>
    </row>
    <row r="645" ht="14.25" customHeight="1" spans="1:24">
      <c r="A645" s="10" t="s">
        <v>672</v>
      </c>
      <c r="B645">
        <v>1.172</v>
      </c>
      <c r="C645">
        <v>1.086</v>
      </c>
      <c r="D645">
        <v>1</v>
      </c>
      <c r="E645">
        <v>269</v>
      </c>
      <c r="F645">
        <v>12</v>
      </c>
      <c r="G645">
        <v>53</v>
      </c>
      <c r="H645" s="5">
        <f t="shared" si="0"/>
        <v>269.214722222222</v>
      </c>
      <c r="I645">
        <v>93</v>
      </c>
      <c r="J645">
        <v>57</v>
      </c>
      <c r="K645">
        <v>49</v>
      </c>
      <c r="L645" s="5">
        <f t="shared" si="1"/>
        <v>93.9636111111111</v>
      </c>
      <c r="M645" s="5">
        <f t="shared" si="28"/>
        <v>17.1178188226667</v>
      </c>
      <c r="N645" s="5">
        <f t="shared" si="29"/>
        <v>-1.18607019363337</v>
      </c>
      <c r="O645">
        <v>1.5</v>
      </c>
      <c r="P645">
        <v>1519.236</v>
      </c>
      <c r="Q645" s="5">
        <f t="shared" si="17"/>
        <v>1518.46392980637</v>
      </c>
      <c r="U645">
        <v>289.3597222</v>
      </c>
      <c r="W645" s="29">
        <f t="shared" si="50"/>
        <v>355497.963774588</v>
      </c>
      <c r="X645" s="29">
        <f t="shared" si="51"/>
        <v>355751.956</v>
      </c>
    </row>
    <row r="646" ht="14.25" customHeight="1" spans="1:24">
      <c r="A646" s="10" t="s">
        <v>673</v>
      </c>
      <c r="B646">
        <v>2.282</v>
      </c>
      <c r="C646">
        <v>1.141</v>
      </c>
      <c r="D646">
        <v>2</v>
      </c>
      <c r="E646">
        <v>249</v>
      </c>
      <c r="F646">
        <v>21</v>
      </c>
      <c r="G646">
        <v>17</v>
      </c>
      <c r="H646" s="5">
        <f t="shared" si="0"/>
        <v>249.354722222222</v>
      </c>
      <c r="I646">
        <v>87</v>
      </c>
      <c r="J646">
        <v>58</v>
      </c>
      <c r="K646">
        <v>22</v>
      </c>
      <c r="L646" s="5">
        <f t="shared" si="1"/>
        <v>87.9727777777778</v>
      </c>
      <c r="M646" s="5">
        <f t="shared" si="28"/>
        <v>28.1647121396187</v>
      </c>
      <c r="N646" s="5">
        <f t="shared" si="29"/>
        <v>0.996931507006278</v>
      </c>
      <c r="O646">
        <v>1.5</v>
      </c>
      <c r="P646">
        <v>1519.236</v>
      </c>
      <c r="Q646" s="5">
        <f t="shared" si="17"/>
        <v>1520.59193150701</v>
      </c>
      <c r="U646">
        <v>290.3597222</v>
      </c>
      <c r="W646" s="29">
        <f t="shared" si="50"/>
        <v>355518.179265982</v>
      </c>
      <c r="X646" s="29">
        <f t="shared" si="51"/>
        <v>355751.956</v>
      </c>
    </row>
    <row r="647" ht="14.25" customHeight="1" spans="1:24">
      <c r="A647" s="10" t="s">
        <v>674</v>
      </c>
      <c r="B647">
        <v>1.28</v>
      </c>
      <c r="C647">
        <v>1.14</v>
      </c>
      <c r="D647">
        <v>1</v>
      </c>
      <c r="E647">
        <v>250</v>
      </c>
      <c r="F647">
        <v>52</v>
      </c>
      <c r="G647">
        <v>12</v>
      </c>
      <c r="H647" s="5">
        <f t="shared" si="0"/>
        <v>250.87</v>
      </c>
      <c r="I647">
        <v>91</v>
      </c>
      <c r="J647">
        <v>7</v>
      </c>
      <c r="K647">
        <v>25</v>
      </c>
      <c r="L647" s="5">
        <f t="shared" si="1"/>
        <v>91.1236111111111</v>
      </c>
      <c r="M647" s="5">
        <f t="shared" si="28"/>
        <v>27.9892331381038</v>
      </c>
      <c r="N647" s="5">
        <f t="shared" si="29"/>
        <v>-0.548959204111015</v>
      </c>
      <c r="O647">
        <v>1.5</v>
      </c>
      <c r="P647">
        <v>1519.236</v>
      </c>
      <c r="Q647" s="5">
        <f t="shared" si="17"/>
        <v>1519.04704079589</v>
      </c>
      <c r="U647">
        <v>291.3597222</v>
      </c>
      <c r="W647" s="29">
        <f t="shared" si="50"/>
        <v>355518.317736807</v>
      </c>
      <c r="X647" s="29">
        <f t="shared" si="51"/>
        <v>355751.956</v>
      </c>
    </row>
    <row r="648" ht="14.25" customHeight="1" spans="1:24">
      <c r="A648" s="10" t="s">
        <v>675</v>
      </c>
      <c r="B648">
        <v>2.28</v>
      </c>
      <c r="C648">
        <v>2.14</v>
      </c>
      <c r="D648">
        <v>2</v>
      </c>
      <c r="E648">
        <v>252</v>
      </c>
      <c r="F648">
        <v>33</v>
      </c>
      <c r="G648">
        <v>19</v>
      </c>
      <c r="H648" s="5">
        <f t="shared" si="0"/>
        <v>252.555277777778</v>
      </c>
      <c r="I648">
        <v>91</v>
      </c>
      <c r="J648">
        <v>11</v>
      </c>
      <c r="K648">
        <v>5</v>
      </c>
      <c r="L648" s="5">
        <f t="shared" si="1"/>
        <v>91.1847222222222</v>
      </c>
      <c r="M648" s="5">
        <f t="shared" si="28"/>
        <v>27.9880302813937</v>
      </c>
      <c r="N648" s="5">
        <f t="shared" si="29"/>
        <v>-0.578799487571306</v>
      </c>
      <c r="O648">
        <v>1.5</v>
      </c>
      <c r="P648">
        <v>1519.236</v>
      </c>
      <c r="Q648" s="5">
        <f t="shared" si="17"/>
        <v>1518.01720051243</v>
      </c>
      <c r="U648">
        <v>292.3597222</v>
      </c>
      <c r="W648" s="29">
        <f t="shared" si="50"/>
        <v>355518.389421673</v>
      </c>
      <c r="X648" s="29">
        <f t="shared" si="51"/>
        <v>355751.956</v>
      </c>
    </row>
    <row r="649" ht="14.25" customHeight="1" spans="1:24">
      <c r="A649" s="10" t="s">
        <v>676</v>
      </c>
      <c r="B649">
        <v>2.278</v>
      </c>
      <c r="C649">
        <v>2.137</v>
      </c>
      <c r="D649">
        <v>2</v>
      </c>
      <c r="E649">
        <v>253</v>
      </c>
      <c r="F649">
        <v>48</v>
      </c>
      <c r="G649">
        <v>43</v>
      </c>
      <c r="H649" s="5">
        <f t="shared" si="0"/>
        <v>253.811944444444</v>
      </c>
      <c r="I649">
        <v>90</v>
      </c>
      <c r="J649">
        <v>18</v>
      </c>
      <c r="K649">
        <v>15</v>
      </c>
      <c r="L649" s="5">
        <f t="shared" si="1"/>
        <v>90.3041666666667</v>
      </c>
      <c r="M649" s="5">
        <f t="shared" si="28"/>
        <v>27.7992165366448</v>
      </c>
      <c r="N649" s="5">
        <f t="shared" si="29"/>
        <v>-0.147579359869729</v>
      </c>
      <c r="O649">
        <v>1.5</v>
      </c>
      <c r="P649">
        <v>1519.236</v>
      </c>
      <c r="Q649" s="5">
        <f t="shared" si="17"/>
        <v>1518.45142064013</v>
      </c>
      <c r="U649">
        <v>293.3597222</v>
      </c>
      <c r="W649" s="29">
        <f t="shared" si="50"/>
        <v>355518.948110538</v>
      </c>
      <c r="X649" s="29">
        <f t="shared" si="51"/>
        <v>355751.956</v>
      </c>
    </row>
    <row r="650" ht="14.25" customHeight="1" spans="1:24">
      <c r="A650" s="10" t="s">
        <v>677</v>
      </c>
      <c r="B650">
        <v>2.25</v>
      </c>
      <c r="C650">
        <v>2.125</v>
      </c>
      <c r="D650">
        <v>2</v>
      </c>
      <c r="E650">
        <v>253</v>
      </c>
      <c r="F650">
        <v>5</v>
      </c>
      <c r="G650">
        <v>29</v>
      </c>
      <c r="H650" s="5">
        <f t="shared" si="0"/>
        <v>253.091388888889</v>
      </c>
      <c r="I650">
        <v>91</v>
      </c>
      <c r="J650">
        <v>29</v>
      </c>
      <c r="K650">
        <v>31</v>
      </c>
      <c r="L650" s="5">
        <f t="shared" si="1"/>
        <v>91.4919444444444</v>
      </c>
      <c r="M650" s="5">
        <f t="shared" si="28"/>
        <v>24.9830526465365</v>
      </c>
      <c r="N650" s="5">
        <f t="shared" si="29"/>
        <v>-0.650689345078773</v>
      </c>
      <c r="O650">
        <v>1.5</v>
      </c>
      <c r="P650">
        <v>1519.236</v>
      </c>
      <c r="Q650" s="5">
        <f t="shared" si="17"/>
        <v>1517.96031065492</v>
      </c>
      <c r="U650">
        <v>294.3597222</v>
      </c>
      <c r="W650" s="29">
        <f t="shared" si="50"/>
        <v>355521.396365661</v>
      </c>
      <c r="X650" s="29">
        <f t="shared" si="51"/>
        <v>355751.956</v>
      </c>
    </row>
    <row r="651" ht="14.25" customHeight="1" spans="1:24">
      <c r="A651" s="10" t="s">
        <v>678</v>
      </c>
      <c r="B651">
        <v>2.254</v>
      </c>
      <c r="C651">
        <v>2.127</v>
      </c>
      <c r="D651">
        <v>2</v>
      </c>
      <c r="E651">
        <v>251</v>
      </c>
      <c r="F651">
        <v>23</v>
      </c>
      <c r="G651">
        <v>24</v>
      </c>
      <c r="H651" s="5">
        <f t="shared" si="0"/>
        <v>251.39</v>
      </c>
      <c r="I651">
        <v>90</v>
      </c>
      <c r="J651">
        <v>11</v>
      </c>
      <c r="K651">
        <v>41</v>
      </c>
      <c r="L651" s="5">
        <f t="shared" si="1"/>
        <v>90.1947222222222</v>
      </c>
      <c r="M651" s="5">
        <f t="shared" si="28"/>
        <v>25.3997066285724</v>
      </c>
      <c r="N651" s="5">
        <f t="shared" si="29"/>
        <v>-0.0863223504848005</v>
      </c>
      <c r="O651">
        <v>1.5</v>
      </c>
      <c r="P651">
        <v>1519.236</v>
      </c>
      <c r="Q651" s="5">
        <f t="shared" si="17"/>
        <v>1518.52267764952</v>
      </c>
      <c r="U651">
        <v>295.3597222</v>
      </c>
      <c r="W651" s="29">
        <f t="shared" si="50"/>
        <v>355524.790794558</v>
      </c>
      <c r="X651" s="29">
        <f t="shared" si="51"/>
        <v>355751.956</v>
      </c>
    </row>
    <row r="652" ht="14.25" customHeight="1" spans="1:24">
      <c r="A652" s="10" t="s">
        <v>679</v>
      </c>
      <c r="B652">
        <v>1.255</v>
      </c>
      <c r="C652">
        <v>1.128</v>
      </c>
      <c r="D652">
        <v>1</v>
      </c>
      <c r="E652">
        <v>249</v>
      </c>
      <c r="F652">
        <v>20</v>
      </c>
      <c r="G652">
        <v>2</v>
      </c>
      <c r="H652" s="5">
        <f t="shared" si="0"/>
        <v>249.333888888889</v>
      </c>
      <c r="I652">
        <v>91</v>
      </c>
      <c r="J652">
        <v>41</v>
      </c>
      <c r="K652">
        <v>13</v>
      </c>
      <c r="L652" s="5">
        <f t="shared" si="1"/>
        <v>91.6869444444444</v>
      </c>
      <c r="M652" s="5">
        <f t="shared" si="28"/>
        <v>25.477901083561</v>
      </c>
      <c r="N652" s="5">
        <f t="shared" si="29"/>
        <v>-0.750355920270685</v>
      </c>
      <c r="O652">
        <v>1.5</v>
      </c>
      <c r="P652">
        <v>1519.236</v>
      </c>
      <c r="Q652" s="5">
        <f t="shared" si="17"/>
        <v>1518.85764407973</v>
      </c>
      <c r="U652">
        <v>296.3597222</v>
      </c>
      <c r="W652" s="29">
        <f t="shared" si="50"/>
        <v>355528.546824532</v>
      </c>
      <c r="X652" s="29">
        <f t="shared" si="51"/>
        <v>355751.956</v>
      </c>
    </row>
    <row r="653" ht="14.25" customHeight="1" spans="1:24">
      <c r="A653" s="10" t="s">
        <v>680</v>
      </c>
      <c r="B653">
        <v>1.256</v>
      </c>
      <c r="C653">
        <v>1.128</v>
      </c>
      <c r="D653">
        <v>1</v>
      </c>
      <c r="E653">
        <v>247</v>
      </c>
      <c r="F653">
        <v>30</v>
      </c>
      <c r="G653">
        <v>5</v>
      </c>
      <c r="H653" s="5">
        <f t="shared" si="0"/>
        <v>247.501388888889</v>
      </c>
      <c r="I653">
        <v>90</v>
      </c>
      <c r="J653">
        <v>3</v>
      </c>
      <c r="K653">
        <v>7</v>
      </c>
      <c r="L653" s="5">
        <f t="shared" si="1"/>
        <v>90.0519444444444</v>
      </c>
      <c r="M653" s="5">
        <f t="shared" si="28"/>
        <v>25.5999789586891</v>
      </c>
      <c r="N653" s="5">
        <f t="shared" si="29"/>
        <v>-0.0232089878246852</v>
      </c>
      <c r="O653">
        <v>1.5</v>
      </c>
      <c r="P653">
        <v>1519.236</v>
      </c>
      <c r="Q653" s="5">
        <f t="shared" si="17"/>
        <v>1519.58479101218</v>
      </c>
      <c r="U653">
        <v>297.3597222</v>
      </c>
      <c r="W653" s="29">
        <f t="shared" si="50"/>
        <v>355532.140443972</v>
      </c>
      <c r="X653" s="29">
        <f t="shared" si="51"/>
        <v>355751.956</v>
      </c>
    </row>
    <row r="654" ht="14.25" customHeight="1" spans="1:24">
      <c r="A654" s="10" t="s">
        <v>681</v>
      </c>
      <c r="B654">
        <v>1.112</v>
      </c>
      <c r="C654">
        <v>1.056</v>
      </c>
      <c r="D654">
        <v>1</v>
      </c>
      <c r="E654">
        <v>248</v>
      </c>
      <c r="F654">
        <v>12</v>
      </c>
      <c r="G654">
        <v>12</v>
      </c>
      <c r="H654" s="5">
        <f t="shared" si="0"/>
        <v>248.203333333333</v>
      </c>
      <c r="I654">
        <v>92</v>
      </c>
      <c r="J654">
        <v>9</v>
      </c>
      <c r="K654">
        <v>39</v>
      </c>
      <c r="L654" s="5">
        <f t="shared" si="1"/>
        <v>92.1608333333333</v>
      </c>
      <c r="M654" s="5">
        <f t="shared" si="28"/>
        <v>11.1840775685564</v>
      </c>
      <c r="N654" s="5">
        <f t="shared" si="29"/>
        <v>-0.421992545367035</v>
      </c>
      <c r="O654">
        <v>1.5</v>
      </c>
      <c r="P654">
        <v>1519.236</v>
      </c>
      <c r="Q654" s="5">
        <f t="shared" si="17"/>
        <v>1519.25800745463</v>
      </c>
      <c r="U654">
        <v>298.3597222</v>
      </c>
      <c r="W654" s="29">
        <f t="shared" si="50"/>
        <v>355533.541358207</v>
      </c>
      <c r="X654" s="29">
        <f t="shared" si="51"/>
        <v>355751.956</v>
      </c>
    </row>
    <row r="655" ht="14.25" customHeight="1" spans="1:24">
      <c r="A655" s="10" t="s">
        <v>682</v>
      </c>
      <c r="B655">
        <v>1.338</v>
      </c>
      <c r="C655">
        <v>1.269</v>
      </c>
      <c r="D655">
        <v>1.2</v>
      </c>
      <c r="E655">
        <v>256</v>
      </c>
      <c r="F655">
        <v>40</v>
      </c>
      <c r="G655">
        <v>26</v>
      </c>
      <c r="H655" s="5">
        <f t="shared" si="0"/>
        <v>256.673888888889</v>
      </c>
      <c r="I655">
        <v>90</v>
      </c>
      <c r="J655">
        <v>58</v>
      </c>
      <c r="K655">
        <v>15</v>
      </c>
      <c r="L655" s="5">
        <f t="shared" si="1"/>
        <v>90.9708333333333</v>
      </c>
      <c r="M655" s="5">
        <f t="shared" si="28"/>
        <v>13.7960382997143</v>
      </c>
      <c r="N655" s="5">
        <f t="shared" si="29"/>
        <v>-0.233785732827293</v>
      </c>
      <c r="O655">
        <v>1.5</v>
      </c>
      <c r="P655">
        <v>1519.236</v>
      </c>
      <c r="Q655" s="5">
        <f t="shared" si="17"/>
        <v>1519.23321426717</v>
      </c>
      <c r="U655">
        <v>299.3597222</v>
      </c>
      <c r="W655" s="29">
        <f t="shared" si="50"/>
        <v>355528.249641355</v>
      </c>
      <c r="X655" s="29">
        <f t="shared" si="51"/>
        <v>355751.956</v>
      </c>
    </row>
    <row r="656" ht="14.25" customHeight="1" spans="1:24">
      <c r="A656" s="10" t="s">
        <v>683</v>
      </c>
      <c r="B656">
        <v>1.128</v>
      </c>
      <c r="C656">
        <v>1.064</v>
      </c>
      <c r="D656">
        <v>1</v>
      </c>
      <c r="E656">
        <v>268</v>
      </c>
      <c r="F656">
        <v>33</v>
      </c>
      <c r="G656">
        <v>1</v>
      </c>
      <c r="H656" s="5">
        <f t="shared" si="0"/>
        <v>268.550277777778</v>
      </c>
      <c r="I656">
        <v>92</v>
      </c>
      <c r="J656">
        <v>19</v>
      </c>
      <c r="K656">
        <v>24</v>
      </c>
      <c r="L656" s="5">
        <f t="shared" si="1"/>
        <v>92.3233333333333</v>
      </c>
      <c r="M656" s="5">
        <f t="shared" si="28"/>
        <v>12.7789646518872</v>
      </c>
      <c r="N656" s="5">
        <f t="shared" si="29"/>
        <v>-0.518468870785562</v>
      </c>
      <c r="O656">
        <v>1.5</v>
      </c>
      <c r="P656">
        <v>1519.236</v>
      </c>
      <c r="Q656" s="5">
        <f t="shared" si="17"/>
        <v>1519.15353112921</v>
      </c>
      <c r="U656">
        <v>300.3597222</v>
      </c>
      <c r="W656" s="29">
        <f t="shared" si="50"/>
        <v>355520.232240026</v>
      </c>
      <c r="X656" s="29">
        <f t="shared" si="51"/>
        <v>355751.956</v>
      </c>
    </row>
    <row r="657" ht="14.25" customHeight="1" spans="1:24">
      <c r="A657" s="10" t="s">
        <v>684</v>
      </c>
      <c r="B657">
        <v>1.102</v>
      </c>
      <c r="C657">
        <v>1.056</v>
      </c>
      <c r="D657">
        <v>1</v>
      </c>
      <c r="E657">
        <v>262</v>
      </c>
      <c r="F657">
        <v>28</v>
      </c>
      <c r="G657">
        <v>22</v>
      </c>
      <c r="H657" s="5">
        <f t="shared" si="0"/>
        <v>262.472777777778</v>
      </c>
      <c r="I657">
        <v>89</v>
      </c>
      <c r="J657">
        <v>39</v>
      </c>
      <c r="K657">
        <v>3</v>
      </c>
      <c r="L657" s="5">
        <f t="shared" si="1"/>
        <v>89.6508333333333</v>
      </c>
      <c r="M657" s="5">
        <f t="shared" si="28"/>
        <v>10.1996211955393</v>
      </c>
      <c r="N657" s="5">
        <f t="shared" si="29"/>
        <v>0.0621583623186333</v>
      </c>
      <c r="O657">
        <v>1.5</v>
      </c>
      <c r="P657">
        <v>1519.236</v>
      </c>
      <c r="Q657" s="5">
        <f t="shared" si="17"/>
        <v>1519.74215836232</v>
      </c>
      <c r="U657">
        <v>301.3597222</v>
      </c>
      <c r="W657" s="29">
        <f t="shared" si="50"/>
        <v>355527.826073583</v>
      </c>
      <c r="X657" s="29">
        <f t="shared" si="51"/>
        <v>355751.956</v>
      </c>
    </row>
    <row r="658" ht="14.25" customHeight="1" spans="1:24">
      <c r="A658" s="10" t="s">
        <v>685</v>
      </c>
      <c r="B658">
        <v>1.114</v>
      </c>
      <c r="C658">
        <v>1.057</v>
      </c>
      <c r="D658">
        <v>1</v>
      </c>
      <c r="E658">
        <v>250</v>
      </c>
      <c r="F658">
        <v>39</v>
      </c>
      <c r="G658">
        <v>40</v>
      </c>
      <c r="H658" s="5">
        <f t="shared" si="0"/>
        <v>250.661111111111</v>
      </c>
      <c r="I658">
        <v>89</v>
      </c>
      <c r="J658">
        <v>32</v>
      </c>
      <c r="K658">
        <v>18</v>
      </c>
      <c r="L658" s="5">
        <f t="shared" si="1"/>
        <v>89.5383333333333</v>
      </c>
      <c r="M658" s="5">
        <f t="shared" si="28"/>
        <v>11.3992598713344</v>
      </c>
      <c r="N658" s="5">
        <f t="shared" si="29"/>
        <v>0.0918527027225543</v>
      </c>
      <c r="O658">
        <v>1.5</v>
      </c>
      <c r="P658">
        <v>1519.236</v>
      </c>
      <c r="Q658" s="5">
        <f t="shared" si="17"/>
        <v>1519.77085270272</v>
      </c>
      <c r="U658">
        <v>302.3597222</v>
      </c>
      <c r="W658" s="29">
        <f t="shared" si="50"/>
        <v>355540.221458511</v>
      </c>
      <c r="X658" s="29">
        <f t="shared" si="51"/>
        <v>355751.956</v>
      </c>
    </row>
    <row r="659" ht="14.25" customHeight="1" spans="1:24">
      <c r="A659" s="10" t="s">
        <v>686</v>
      </c>
      <c r="B659">
        <v>1.136</v>
      </c>
      <c r="C659">
        <v>1.068</v>
      </c>
      <c r="D659">
        <v>1</v>
      </c>
      <c r="E659">
        <v>256</v>
      </c>
      <c r="F659">
        <v>55</v>
      </c>
      <c r="G659">
        <v>15</v>
      </c>
      <c r="H659" s="5">
        <f t="shared" si="0"/>
        <v>256.920833333333</v>
      </c>
      <c r="I659">
        <v>89</v>
      </c>
      <c r="J659">
        <v>30</v>
      </c>
      <c r="K659">
        <v>55</v>
      </c>
      <c r="L659" s="5">
        <f t="shared" si="1"/>
        <v>89.5152777777778</v>
      </c>
      <c r="M659" s="5">
        <f t="shared" si="28"/>
        <v>13.5990266497527</v>
      </c>
      <c r="N659" s="5">
        <f t="shared" si="29"/>
        <v>0.115050493053952</v>
      </c>
      <c r="O659">
        <v>1.5</v>
      </c>
      <c r="P659">
        <v>1519.236</v>
      </c>
      <c r="Q659" s="5">
        <f t="shared" si="17"/>
        <v>1519.78305049305</v>
      </c>
      <c r="U659">
        <v>303.3597222</v>
      </c>
      <c r="W659" s="29">
        <f t="shared" si="50"/>
        <v>355537.366821896</v>
      </c>
      <c r="X659" s="29">
        <f t="shared" si="51"/>
        <v>355751.956</v>
      </c>
    </row>
    <row r="660" ht="14.25" customHeight="1" spans="1:24">
      <c r="A660" s="10" t="s">
        <v>687</v>
      </c>
      <c r="B660">
        <v>1.126</v>
      </c>
      <c r="C660">
        <v>1.063</v>
      </c>
      <c r="D660">
        <v>1</v>
      </c>
      <c r="E660">
        <v>266</v>
      </c>
      <c r="F660">
        <v>31</v>
      </c>
      <c r="G660">
        <v>31</v>
      </c>
      <c r="H660" s="5">
        <f t="shared" si="0"/>
        <v>266.525277777778</v>
      </c>
      <c r="I660">
        <v>89</v>
      </c>
      <c r="J660">
        <v>50</v>
      </c>
      <c r="K660">
        <v>54</v>
      </c>
      <c r="L660" s="5">
        <f t="shared" si="1"/>
        <v>89.8483333333333</v>
      </c>
      <c r="M660" s="5">
        <f t="shared" si="28"/>
        <v>12.5999117114163</v>
      </c>
      <c r="N660" s="5">
        <f t="shared" si="29"/>
        <v>0.0333530862006784</v>
      </c>
      <c r="O660">
        <v>1.5</v>
      </c>
      <c r="P660">
        <v>1519.236</v>
      </c>
      <c r="Q660" s="5">
        <f t="shared" si="17"/>
        <v>1519.7063530862</v>
      </c>
      <c r="U660">
        <v>304.3597222</v>
      </c>
      <c r="W660" s="29">
        <f t="shared" si="50"/>
        <v>355531.936596777</v>
      </c>
      <c r="X660" s="29">
        <f t="shared" si="51"/>
        <v>355751.956</v>
      </c>
    </row>
    <row r="661" ht="14.25" customHeight="1" spans="1:24">
      <c r="A661" s="10" t="s">
        <v>688</v>
      </c>
      <c r="B661">
        <v>1.106</v>
      </c>
      <c r="C661">
        <v>1.052</v>
      </c>
      <c r="D661">
        <v>1</v>
      </c>
      <c r="E661">
        <v>260</v>
      </c>
      <c r="F661">
        <v>59</v>
      </c>
      <c r="G661">
        <v>3</v>
      </c>
      <c r="H661" s="5">
        <f t="shared" si="0"/>
        <v>260.984166666667</v>
      </c>
      <c r="I661">
        <v>86</v>
      </c>
      <c r="J661">
        <v>58</v>
      </c>
      <c r="K661">
        <v>45</v>
      </c>
      <c r="L661" s="5">
        <f t="shared" si="1"/>
        <v>86.9791666666667</v>
      </c>
      <c r="M661" s="5">
        <f t="shared" si="28"/>
        <v>10.5705617709221</v>
      </c>
      <c r="N661" s="5">
        <f t="shared" si="29"/>
        <v>0.557833863166368</v>
      </c>
      <c r="O661">
        <v>1.5</v>
      </c>
      <c r="P661">
        <v>1519.236</v>
      </c>
      <c r="Q661" s="5">
        <f t="shared" si="17"/>
        <v>1520.24183386317</v>
      </c>
      <c r="U661">
        <v>305.3597222</v>
      </c>
      <c r="W661" s="29">
        <f t="shared" si="50"/>
        <v>355539.114325374</v>
      </c>
      <c r="X661" s="29">
        <f t="shared" si="51"/>
        <v>355751.956</v>
      </c>
    </row>
    <row r="662" ht="14.25" customHeight="1" spans="1:24">
      <c r="A662" s="10" t="s">
        <v>689</v>
      </c>
      <c r="B662">
        <v>1.114</v>
      </c>
      <c r="C662">
        <v>1.057</v>
      </c>
      <c r="D662">
        <v>1</v>
      </c>
      <c r="E662">
        <v>253</v>
      </c>
      <c r="F662">
        <v>1</v>
      </c>
      <c r="G662">
        <v>14</v>
      </c>
      <c r="H662" s="5">
        <f t="shared" si="0"/>
        <v>253.020555555556</v>
      </c>
      <c r="I662">
        <v>87</v>
      </c>
      <c r="J662">
        <v>12</v>
      </c>
      <c r="K662">
        <v>1</v>
      </c>
      <c r="L662" s="5">
        <f t="shared" si="1"/>
        <v>87.2002777777778</v>
      </c>
      <c r="M662" s="5">
        <f t="shared" si="28"/>
        <v>11.3728015729156</v>
      </c>
      <c r="N662" s="5">
        <f t="shared" si="29"/>
        <v>0.556167523617041</v>
      </c>
      <c r="O662">
        <v>1.5</v>
      </c>
      <c r="P662">
        <v>1519.236</v>
      </c>
      <c r="Q662" s="5">
        <f t="shared" si="17"/>
        <v>1520.23516752362</v>
      </c>
      <c r="U662">
        <v>306.3597222</v>
      </c>
      <c r="W662" s="29">
        <f t="shared" si="50"/>
        <v>355548.195824168</v>
      </c>
      <c r="X662" s="29">
        <f t="shared" si="51"/>
        <v>355751.956</v>
      </c>
    </row>
    <row r="663" ht="14.25" customHeight="1" spans="1:24">
      <c r="A663" s="10" t="s">
        <v>690</v>
      </c>
      <c r="B663">
        <v>1.13</v>
      </c>
      <c r="C663">
        <v>1.065</v>
      </c>
      <c r="D663">
        <v>1</v>
      </c>
      <c r="E663">
        <v>257</v>
      </c>
      <c r="F663">
        <v>10</v>
      </c>
      <c r="G663">
        <v>49</v>
      </c>
      <c r="H663" s="5">
        <f t="shared" si="0"/>
        <v>257.180277777778</v>
      </c>
      <c r="I663">
        <v>87</v>
      </c>
      <c r="J663">
        <v>23</v>
      </c>
      <c r="K663">
        <v>52</v>
      </c>
      <c r="L663" s="5">
        <f t="shared" si="1"/>
        <v>87.3977777777778</v>
      </c>
      <c r="M663" s="5">
        <f t="shared" si="28"/>
        <v>12.9732028740172</v>
      </c>
      <c r="N663" s="5">
        <f t="shared" si="29"/>
        <v>0.589613900629186</v>
      </c>
      <c r="O663">
        <v>1.5</v>
      </c>
      <c r="P663">
        <v>1519.236</v>
      </c>
      <c r="Q663" s="5">
        <f t="shared" si="17"/>
        <v>1520.26061390063</v>
      </c>
      <c r="U663">
        <v>307.3597222</v>
      </c>
      <c r="W663" s="29">
        <f t="shared" si="50"/>
        <v>355547.538468733</v>
      </c>
      <c r="X663" s="29">
        <f t="shared" si="51"/>
        <v>355751.956</v>
      </c>
    </row>
    <row r="664" ht="14.25" customHeight="1" spans="1:24">
      <c r="A664" s="10" t="s">
        <v>691</v>
      </c>
      <c r="B664">
        <v>1.123</v>
      </c>
      <c r="C664">
        <v>1.061</v>
      </c>
      <c r="D664">
        <v>1</v>
      </c>
      <c r="E664">
        <v>265</v>
      </c>
      <c r="F664">
        <v>20</v>
      </c>
      <c r="G664">
        <v>16</v>
      </c>
      <c r="H664" s="5">
        <f t="shared" si="0"/>
        <v>265.337777777778</v>
      </c>
      <c r="I664">
        <v>87</v>
      </c>
      <c r="J664">
        <v>26</v>
      </c>
      <c r="K664">
        <v>57</v>
      </c>
      <c r="L664" s="5">
        <f t="shared" si="1"/>
        <v>87.4491666666667</v>
      </c>
      <c r="M664" s="5">
        <f t="shared" si="28"/>
        <v>12.2756366468284</v>
      </c>
      <c r="N664" s="5">
        <f t="shared" si="29"/>
        <v>0.546878113507077</v>
      </c>
      <c r="O664">
        <v>1.5</v>
      </c>
      <c r="P664">
        <v>1519.236</v>
      </c>
      <c r="Q664" s="5">
        <f t="shared" si="17"/>
        <v>1520.22187811351</v>
      </c>
      <c r="U664">
        <v>308.3597222</v>
      </c>
      <c r="W664" s="29">
        <f t="shared" si="50"/>
        <v>355543.896710117</v>
      </c>
      <c r="X664" s="29">
        <f t="shared" si="51"/>
        <v>355751.956</v>
      </c>
    </row>
    <row r="665" ht="14.25" customHeight="1" spans="1:24">
      <c r="A665" s="10" t="s">
        <v>692</v>
      </c>
      <c r="B665">
        <v>1.098</v>
      </c>
      <c r="C665">
        <v>1.048</v>
      </c>
      <c r="D665">
        <v>1</v>
      </c>
      <c r="E665">
        <v>263</v>
      </c>
      <c r="F665">
        <v>34</v>
      </c>
      <c r="G665">
        <v>5</v>
      </c>
      <c r="H665" s="5">
        <f t="shared" si="0"/>
        <v>263.568055555556</v>
      </c>
      <c r="I665">
        <v>92</v>
      </c>
      <c r="J665">
        <v>48</v>
      </c>
      <c r="K665">
        <v>51</v>
      </c>
      <c r="L665" s="5">
        <f t="shared" si="1"/>
        <v>92.8141666666667</v>
      </c>
      <c r="M665" s="5">
        <f t="shared" si="28"/>
        <v>9.77637721065159</v>
      </c>
      <c r="N665" s="5">
        <f t="shared" si="29"/>
        <v>-0.480567684554277</v>
      </c>
      <c r="O665">
        <v>1.5</v>
      </c>
      <c r="P665">
        <v>1519.236</v>
      </c>
      <c r="Q665" s="5">
        <f t="shared" si="17"/>
        <v>1519.20743231545</v>
      </c>
      <c r="U665">
        <v>309.3597222</v>
      </c>
      <c r="W665" s="29">
        <f t="shared" si="50"/>
        <v>355548.170560166</v>
      </c>
      <c r="X665" s="29">
        <f t="shared" si="51"/>
        <v>355751.956</v>
      </c>
    </row>
    <row r="666" ht="14.25" customHeight="1" spans="1:24">
      <c r="A666" s="10" t="s">
        <v>693</v>
      </c>
      <c r="B666">
        <v>1.252</v>
      </c>
      <c r="C666">
        <v>1.126</v>
      </c>
      <c r="D666">
        <v>1</v>
      </c>
      <c r="E666">
        <v>280</v>
      </c>
      <c r="F666">
        <v>40</v>
      </c>
      <c r="G666">
        <v>40</v>
      </c>
      <c r="H666" s="5">
        <f t="shared" si="0"/>
        <v>280.677777777778</v>
      </c>
      <c r="I666">
        <v>92</v>
      </c>
      <c r="J666">
        <v>57</v>
      </c>
      <c r="K666">
        <v>57</v>
      </c>
      <c r="L666" s="5">
        <f t="shared" si="1"/>
        <v>92.9658333333333</v>
      </c>
      <c r="M666" s="5">
        <f t="shared" si="28"/>
        <v>25.1325377482692</v>
      </c>
      <c r="N666" s="5">
        <f t="shared" si="29"/>
        <v>-1.30211274020638</v>
      </c>
      <c r="O666">
        <v>1.5</v>
      </c>
      <c r="P666">
        <v>1519.236</v>
      </c>
      <c r="Q666" s="5">
        <f t="shared" si="17"/>
        <v>1518.30788725979</v>
      </c>
      <c r="U666">
        <v>310.3597222</v>
      </c>
      <c r="W666" s="29">
        <f t="shared" si="50"/>
        <v>355538.081291963</v>
      </c>
      <c r="X666" s="29">
        <f t="shared" si="51"/>
        <v>355751.956</v>
      </c>
    </row>
    <row r="667" ht="14.25" customHeight="1" spans="1:24">
      <c r="A667" s="10" t="s">
        <v>694</v>
      </c>
      <c r="B667">
        <v>1.154</v>
      </c>
      <c r="C667">
        <v>1.077</v>
      </c>
      <c r="D667">
        <v>1</v>
      </c>
      <c r="E667">
        <v>285</v>
      </c>
      <c r="F667">
        <v>45</v>
      </c>
      <c r="G667">
        <v>31</v>
      </c>
      <c r="H667" s="5">
        <f t="shared" si="0"/>
        <v>285.758611111111</v>
      </c>
      <c r="I667">
        <v>95</v>
      </c>
      <c r="J667">
        <v>16</v>
      </c>
      <c r="K667">
        <v>7</v>
      </c>
      <c r="L667" s="5">
        <f t="shared" si="1"/>
        <v>95.2686111111111</v>
      </c>
      <c r="M667" s="5">
        <f t="shared" si="28"/>
        <v>15.2701495924927</v>
      </c>
      <c r="N667" s="5">
        <f t="shared" si="29"/>
        <v>-1.40813179329273</v>
      </c>
      <c r="O667">
        <v>1.5</v>
      </c>
      <c r="P667">
        <v>1519.236</v>
      </c>
      <c r="Q667" s="5">
        <f t="shared" si="17"/>
        <v>1518.25086820671</v>
      </c>
      <c r="U667">
        <v>311.3597222</v>
      </c>
      <c r="W667" s="29">
        <f t="shared" si="50"/>
        <v>355537.47250959</v>
      </c>
      <c r="X667" s="29">
        <f t="shared" si="51"/>
        <v>355751.956</v>
      </c>
    </row>
    <row r="668" ht="14.25" customHeight="1" spans="1:24">
      <c r="A668" s="10" t="s">
        <v>695</v>
      </c>
      <c r="B668" s="11">
        <v>1.09</v>
      </c>
      <c r="C668" s="11">
        <v>1.045</v>
      </c>
      <c r="D668" s="11">
        <v>1</v>
      </c>
      <c r="E668" s="11">
        <v>314</v>
      </c>
      <c r="F668" s="11">
        <v>21</v>
      </c>
      <c r="G668" s="11">
        <v>44</v>
      </c>
      <c r="H668" s="5">
        <f t="shared" si="0"/>
        <v>314.362222222222</v>
      </c>
      <c r="I668" s="11">
        <v>96</v>
      </c>
      <c r="J668" s="11">
        <v>30</v>
      </c>
      <c r="K668" s="11">
        <v>21</v>
      </c>
      <c r="L668" s="5">
        <f t="shared" si="1"/>
        <v>96.5058333333333</v>
      </c>
      <c r="M668" s="5">
        <f t="shared" si="28"/>
        <v>8.88445907846781</v>
      </c>
      <c r="N668" s="5">
        <f t="shared" si="29"/>
        <v>-1.01317253675832</v>
      </c>
      <c r="O668">
        <v>1.5</v>
      </c>
      <c r="P668">
        <v>1519.236</v>
      </c>
      <c r="Q668" s="5">
        <f t="shared" si="17"/>
        <v>1518.67782746324</v>
      </c>
      <c r="U668">
        <v>312.3597222</v>
      </c>
      <c r="W668" s="29">
        <f t="shared" si="50"/>
        <v>355519.66458126</v>
      </c>
      <c r="X668" s="29">
        <f t="shared" si="51"/>
        <v>355751.956</v>
      </c>
    </row>
    <row r="669" ht="14.25" customHeight="1" spans="1:24">
      <c r="A669" s="10" t="s">
        <v>696</v>
      </c>
      <c r="B669" s="11">
        <v>1.044</v>
      </c>
      <c r="C669" s="11">
        <v>1.022</v>
      </c>
      <c r="D669" s="11">
        <v>1</v>
      </c>
      <c r="E669" s="11">
        <v>73</v>
      </c>
      <c r="F669" s="11">
        <v>32</v>
      </c>
      <c r="G669" s="11">
        <v>42</v>
      </c>
      <c r="H669" s="5">
        <f t="shared" si="0"/>
        <v>73.545</v>
      </c>
      <c r="I669" s="11">
        <v>107</v>
      </c>
      <c r="J669" s="11">
        <v>30</v>
      </c>
      <c r="K669" s="11">
        <v>58</v>
      </c>
      <c r="L669" s="5">
        <f t="shared" si="1"/>
        <v>107.516111111111</v>
      </c>
      <c r="M669" s="5">
        <f t="shared" si="28"/>
        <v>4.00142455818826</v>
      </c>
      <c r="N669" s="5">
        <f t="shared" si="29"/>
        <v>-1.2628814517429</v>
      </c>
      <c r="O669">
        <v>1.5</v>
      </c>
      <c r="P669">
        <v>1519.236</v>
      </c>
      <c r="Q669" s="5">
        <f t="shared" si="17"/>
        <v>1518.45111854826</v>
      </c>
      <c r="U669">
        <v>313.3597222</v>
      </c>
      <c r="W669" s="29">
        <f t="shared" si="50"/>
        <v>355698.484556174</v>
      </c>
      <c r="X669" s="29">
        <f t="shared" si="51"/>
        <v>355751.956</v>
      </c>
    </row>
    <row r="670" ht="14.25" customHeight="1" spans="1:24">
      <c r="A670" s="10" t="s">
        <v>697</v>
      </c>
      <c r="B670" s="11">
        <v>1.114</v>
      </c>
      <c r="C670" s="11">
        <v>1.057</v>
      </c>
      <c r="D670" s="11">
        <v>1</v>
      </c>
      <c r="E670" s="11">
        <v>172</v>
      </c>
      <c r="F670" s="11">
        <v>7</v>
      </c>
      <c r="G670" s="11">
        <v>36</v>
      </c>
      <c r="H670" s="5">
        <f t="shared" si="0"/>
        <v>172.126666666667</v>
      </c>
      <c r="I670" s="11">
        <v>91</v>
      </c>
      <c r="J670" s="11">
        <v>29</v>
      </c>
      <c r="K670" s="11">
        <v>38</v>
      </c>
      <c r="L670" s="5">
        <f t="shared" si="1"/>
        <v>91.4938888888889</v>
      </c>
      <c r="M670" s="5">
        <f t="shared" si="28"/>
        <v>11.3922518545448</v>
      </c>
      <c r="N670" s="5">
        <f t="shared" si="29"/>
        <v>-0.297100697460532</v>
      </c>
      <c r="O670">
        <v>1.5</v>
      </c>
      <c r="P670">
        <v>1519.236</v>
      </c>
      <c r="Q670" s="5">
        <f t="shared" si="17"/>
        <v>1519.38189930254</v>
      </c>
      <c r="U670">
        <v>314.3597222</v>
      </c>
      <c r="W670" s="29">
        <f t="shared" si="50"/>
        <v>355628.891569297</v>
      </c>
      <c r="X670" s="29">
        <f t="shared" si="51"/>
        <v>355751.956</v>
      </c>
    </row>
    <row r="671" ht="14.25" customHeight="1" spans="1:24">
      <c r="A671" s="10" t="s">
        <v>698</v>
      </c>
      <c r="B671" s="11">
        <v>1.268</v>
      </c>
      <c r="C671" s="11">
        <v>1.134</v>
      </c>
      <c r="D671" s="11">
        <v>1</v>
      </c>
      <c r="E671" s="11">
        <v>174</v>
      </c>
      <c r="F671" s="11">
        <v>20</v>
      </c>
      <c r="G671" s="11">
        <v>39</v>
      </c>
      <c r="H671" s="5">
        <f t="shared" si="0"/>
        <v>174.344166666667</v>
      </c>
      <c r="I671" s="11">
        <v>88</v>
      </c>
      <c r="J671" s="11">
        <v>22</v>
      </c>
      <c r="K671" s="11">
        <v>57</v>
      </c>
      <c r="L671" s="5">
        <f t="shared" si="1"/>
        <v>88.3825</v>
      </c>
      <c r="M671" s="5">
        <f t="shared" si="28"/>
        <v>26.7786468116308</v>
      </c>
      <c r="N671" s="5">
        <f t="shared" si="29"/>
        <v>0.756180857758314</v>
      </c>
      <c r="O671">
        <v>1.5</v>
      </c>
      <c r="P671">
        <v>1519.236</v>
      </c>
      <c r="Q671" s="5">
        <f t="shared" si="17"/>
        <v>1520.35818085776</v>
      </c>
      <c r="U671">
        <v>315.3597222</v>
      </c>
      <c r="W671" s="29">
        <f t="shared" si="50"/>
        <v>355629.452475178</v>
      </c>
      <c r="X671" s="29">
        <f t="shared" si="51"/>
        <v>355751.956</v>
      </c>
    </row>
    <row r="672" ht="14.25" customHeight="1" spans="1:24">
      <c r="A672" s="10" t="s">
        <v>699</v>
      </c>
      <c r="B672" s="11">
        <v>1.272</v>
      </c>
      <c r="C672" s="11">
        <v>1.136</v>
      </c>
      <c r="D672" s="11">
        <v>1</v>
      </c>
      <c r="E672" s="11">
        <v>174</v>
      </c>
      <c r="F672" s="11">
        <v>29</v>
      </c>
      <c r="G672" s="11">
        <v>38</v>
      </c>
      <c r="H672" s="5">
        <f t="shared" si="0"/>
        <v>174.493888888889</v>
      </c>
      <c r="I672" s="11">
        <v>88</v>
      </c>
      <c r="J672" s="11">
        <v>30</v>
      </c>
      <c r="K672" s="11">
        <v>43</v>
      </c>
      <c r="L672" s="5">
        <f t="shared" si="1"/>
        <v>88.5119444444444</v>
      </c>
      <c r="M672" s="5">
        <f t="shared" si="28"/>
        <v>27.1816572569722</v>
      </c>
      <c r="N672" s="5">
        <f t="shared" si="29"/>
        <v>0.706106333447155</v>
      </c>
      <c r="O672">
        <v>1.5</v>
      </c>
      <c r="P672">
        <v>1519.236</v>
      </c>
      <c r="Q672" s="5">
        <f t="shared" si="17"/>
        <v>1520.30610633345</v>
      </c>
      <c r="U672">
        <v>316.3597222</v>
      </c>
      <c r="W672" s="29">
        <f t="shared" si="50"/>
        <v>355631.532802705</v>
      </c>
      <c r="X672" s="29">
        <f t="shared" si="51"/>
        <v>355751.956</v>
      </c>
    </row>
    <row r="673" ht="14.25" customHeight="1" spans="1:24">
      <c r="A673" s="10" t="s">
        <v>700</v>
      </c>
      <c r="B673" s="11">
        <v>1.19</v>
      </c>
      <c r="C673" s="11">
        <v>1.097</v>
      </c>
      <c r="D673" s="11">
        <v>1</v>
      </c>
      <c r="E673" s="11">
        <v>220</v>
      </c>
      <c r="F673" s="11">
        <v>12</v>
      </c>
      <c r="G673" s="11">
        <v>5</v>
      </c>
      <c r="H673" s="5">
        <f t="shared" si="0"/>
        <v>220.201388888889</v>
      </c>
      <c r="I673" s="11">
        <v>88</v>
      </c>
      <c r="J673" s="11">
        <v>12</v>
      </c>
      <c r="K673" s="11">
        <v>18</v>
      </c>
      <c r="L673" s="5">
        <f t="shared" si="1"/>
        <v>88.205</v>
      </c>
      <c r="M673" s="5">
        <f t="shared" si="28"/>
        <v>18.9813578862842</v>
      </c>
      <c r="N673" s="5">
        <f t="shared" si="29"/>
        <v>0.594855135470286</v>
      </c>
      <c r="O673">
        <v>1.5</v>
      </c>
      <c r="P673">
        <v>1519.236</v>
      </c>
      <c r="Q673" s="5">
        <f t="shared" si="17"/>
        <v>1520.23385513547</v>
      </c>
      <c r="U673">
        <v>317.3597222</v>
      </c>
      <c r="W673" s="29">
        <f t="shared" si="50"/>
        <v>355602.793062541</v>
      </c>
      <c r="X673" s="29">
        <f t="shared" si="51"/>
        <v>355751.956</v>
      </c>
    </row>
    <row r="674" ht="14.25" customHeight="1" spans="1:24">
      <c r="A674" s="10" t="s">
        <v>701</v>
      </c>
      <c r="B674" s="11">
        <v>1.178</v>
      </c>
      <c r="C674" s="11">
        <v>1.088</v>
      </c>
      <c r="D674" s="11">
        <v>1</v>
      </c>
      <c r="E674" s="11">
        <v>220</v>
      </c>
      <c r="F674" s="11">
        <v>43</v>
      </c>
      <c r="G674" s="11">
        <v>39</v>
      </c>
      <c r="H674" s="5">
        <f t="shared" si="0"/>
        <v>220.7275</v>
      </c>
      <c r="I674" s="11">
        <v>88</v>
      </c>
      <c r="J674" s="11">
        <v>9</v>
      </c>
      <c r="K674" s="11">
        <v>4</v>
      </c>
      <c r="L674" s="5">
        <f t="shared" si="1"/>
        <v>88.1511111111111</v>
      </c>
      <c r="M674" s="5">
        <f t="shared" si="28"/>
        <v>17.7814712716782</v>
      </c>
      <c r="N674" s="5">
        <f t="shared" si="29"/>
        <v>0.573993075180664</v>
      </c>
      <c r="O674">
        <v>1.5</v>
      </c>
      <c r="P674">
        <v>1519.236</v>
      </c>
      <c r="Q674" s="5">
        <f t="shared" si="17"/>
        <v>1520.22199307518</v>
      </c>
      <c r="U674">
        <v>318.3597222</v>
      </c>
      <c r="W674" s="29">
        <f t="shared" si="50"/>
        <v>355605.293229599</v>
      </c>
      <c r="X674" s="29">
        <f t="shared" si="51"/>
        <v>355751.956</v>
      </c>
    </row>
    <row r="675" ht="14.25" customHeight="1" spans="1:24">
      <c r="A675" s="10" t="s">
        <v>702</v>
      </c>
      <c r="B675" s="11">
        <v>1.232</v>
      </c>
      <c r="C675" s="11">
        <v>1.116</v>
      </c>
      <c r="D675" s="11">
        <v>1</v>
      </c>
      <c r="E675" s="11">
        <v>241</v>
      </c>
      <c r="F675" s="11">
        <v>59</v>
      </c>
      <c r="G675" s="11">
        <v>24</v>
      </c>
      <c r="H675" s="5">
        <f t="shared" si="0"/>
        <v>241.99</v>
      </c>
      <c r="I675" s="11">
        <v>88</v>
      </c>
      <c r="J675" s="11">
        <v>23</v>
      </c>
      <c r="K675" s="11">
        <v>19</v>
      </c>
      <c r="L675" s="5">
        <f t="shared" si="1"/>
        <v>88.3886111111111</v>
      </c>
      <c r="M675" s="5">
        <f t="shared" si="28"/>
        <v>23.1816545257582</v>
      </c>
      <c r="N675" s="5">
        <f t="shared" si="29"/>
        <v>0.652133763874723</v>
      </c>
      <c r="O675">
        <v>1.5</v>
      </c>
      <c r="P675">
        <v>1519.236</v>
      </c>
      <c r="Q675" s="5">
        <f t="shared" si="17"/>
        <v>1520.27213376387</v>
      </c>
      <c r="U675">
        <v>319.3597222</v>
      </c>
      <c r="W675" s="29">
        <f t="shared" si="50"/>
        <v>355594.346023401</v>
      </c>
      <c r="X675" s="29">
        <f t="shared" si="51"/>
        <v>355751.956</v>
      </c>
    </row>
    <row r="676" ht="14.25" customHeight="1" spans="1:24">
      <c r="A676" s="10" t="s">
        <v>703</v>
      </c>
      <c r="B676" s="11">
        <v>1.242</v>
      </c>
      <c r="C676" s="11">
        <v>1.121</v>
      </c>
      <c r="D676" s="11">
        <v>1</v>
      </c>
      <c r="E676" s="11">
        <v>240</v>
      </c>
      <c r="F676" s="11">
        <v>20</v>
      </c>
      <c r="G676" s="11">
        <v>1</v>
      </c>
      <c r="H676" s="5">
        <f t="shared" si="0"/>
        <v>240.333611111111</v>
      </c>
      <c r="I676" s="11">
        <v>88</v>
      </c>
      <c r="J676" s="11">
        <v>29</v>
      </c>
      <c r="K676" s="11">
        <v>9</v>
      </c>
      <c r="L676" s="5">
        <f t="shared" si="1"/>
        <v>88.4858333333333</v>
      </c>
      <c r="M676" s="5">
        <f t="shared" si="28"/>
        <v>24.1831027372218</v>
      </c>
      <c r="N676" s="5">
        <f t="shared" si="29"/>
        <v>0.639240363043644</v>
      </c>
      <c r="O676">
        <v>1.5</v>
      </c>
      <c r="P676">
        <v>1519.236</v>
      </c>
      <c r="Q676" s="5">
        <f t="shared" si="17"/>
        <v>1520.25424036304</v>
      </c>
      <c r="U676">
        <v>320.3597222</v>
      </c>
      <c r="W676" s="29">
        <f t="shared" si="50"/>
        <v>355598.631450694</v>
      </c>
      <c r="X676" s="29">
        <f t="shared" si="51"/>
        <v>355751.956</v>
      </c>
    </row>
    <row r="677" ht="14.25" customHeight="1" spans="1:24">
      <c r="A677" s="10" t="s">
        <v>704</v>
      </c>
      <c r="B677" s="11">
        <v>1.36</v>
      </c>
      <c r="C677" s="11">
        <v>1.18</v>
      </c>
      <c r="D677" s="11">
        <v>1</v>
      </c>
      <c r="E677" s="11">
        <v>248</v>
      </c>
      <c r="F677" s="11">
        <v>10</v>
      </c>
      <c r="G677" s="11">
        <v>8</v>
      </c>
      <c r="H677" s="5">
        <f t="shared" si="0"/>
        <v>248.168888888889</v>
      </c>
      <c r="I677" s="11">
        <v>88</v>
      </c>
      <c r="J677" s="11">
        <v>43</v>
      </c>
      <c r="K677" s="11">
        <v>0</v>
      </c>
      <c r="L677" s="5">
        <f t="shared" si="1"/>
        <v>88.7166666666667</v>
      </c>
      <c r="M677" s="5">
        <f t="shared" si="28"/>
        <v>35.9819422532686</v>
      </c>
      <c r="N677" s="5">
        <f t="shared" si="29"/>
        <v>0.80607245338911</v>
      </c>
      <c r="O677">
        <v>1.5</v>
      </c>
      <c r="P677">
        <v>1519.236</v>
      </c>
      <c r="Q677" s="5">
        <f t="shared" si="17"/>
        <v>1520.36207245339</v>
      </c>
      <c r="U677">
        <v>321.3597222</v>
      </c>
      <c r="W677" s="29">
        <f t="shared" si="50"/>
        <v>355596.992189735</v>
      </c>
      <c r="X677" s="29">
        <f t="shared" si="51"/>
        <v>355751.956</v>
      </c>
    </row>
    <row r="678" ht="14.25" customHeight="1" spans="1:24">
      <c r="A678" s="10" t="s">
        <v>705</v>
      </c>
      <c r="B678" s="11">
        <v>1.356</v>
      </c>
      <c r="C678" s="11">
        <v>1.178</v>
      </c>
      <c r="D678" s="11">
        <v>1</v>
      </c>
      <c r="E678" s="11">
        <v>250</v>
      </c>
      <c r="F678" s="11">
        <v>9</v>
      </c>
      <c r="G678" s="11">
        <v>56</v>
      </c>
      <c r="H678" s="5">
        <f t="shared" si="0"/>
        <v>250.165555555556</v>
      </c>
      <c r="I678" s="11">
        <v>88</v>
      </c>
      <c r="J678" s="11">
        <v>40</v>
      </c>
      <c r="K678" s="11">
        <v>53</v>
      </c>
      <c r="L678" s="5">
        <f t="shared" si="1"/>
        <v>88.6813888888889</v>
      </c>
      <c r="M678" s="5">
        <f t="shared" si="28"/>
        <v>35.5811478225432</v>
      </c>
      <c r="N678" s="5">
        <f t="shared" si="29"/>
        <v>0.819012889317011</v>
      </c>
      <c r="O678">
        <v>1.5</v>
      </c>
      <c r="P678">
        <v>1519.236</v>
      </c>
      <c r="Q678" s="5">
        <f t="shared" si="17"/>
        <v>1520.37701288932</v>
      </c>
      <c r="U678">
        <v>322.3597222</v>
      </c>
      <c r="W678" s="29">
        <f t="shared" si="50"/>
        <v>355599.179400779</v>
      </c>
      <c r="X678" s="29">
        <f t="shared" si="51"/>
        <v>355751.956</v>
      </c>
    </row>
    <row r="679" ht="14.25" customHeight="1" spans="1:24">
      <c r="A679" s="10" t="s">
        <v>706</v>
      </c>
      <c r="B679" s="11">
        <v>1.488</v>
      </c>
      <c r="C679" s="11">
        <v>1.244</v>
      </c>
      <c r="D679" s="11">
        <v>1</v>
      </c>
      <c r="E679" s="11">
        <v>252</v>
      </c>
      <c r="F679" s="11">
        <v>47</v>
      </c>
      <c r="G679" s="11">
        <v>28</v>
      </c>
      <c r="H679" s="5">
        <f t="shared" si="0"/>
        <v>252.791111111111</v>
      </c>
      <c r="I679" s="11">
        <v>89</v>
      </c>
      <c r="J679" s="11">
        <v>7</v>
      </c>
      <c r="K679" s="11">
        <v>53</v>
      </c>
      <c r="L679" s="5">
        <f t="shared" si="1"/>
        <v>89.1313888888889</v>
      </c>
      <c r="M679" s="5">
        <f t="shared" si="28"/>
        <v>48.7887851867344</v>
      </c>
      <c r="N679" s="5">
        <f t="shared" si="29"/>
        <v>0.739700693066291</v>
      </c>
      <c r="O679">
        <v>1.5</v>
      </c>
      <c r="P679">
        <v>1519.236</v>
      </c>
      <c r="Q679" s="5">
        <f t="shared" si="17"/>
        <v>1520.23170069307</v>
      </c>
      <c r="U679">
        <v>323.3597222</v>
      </c>
      <c r="W679" s="29">
        <f t="shared" si="50"/>
        <v>355601.093022381</v>
      </c>
      <c r="X679" s="29">
        <f t="shared" si="51"/>
        <v>355751.956</v>
      </c>
    </row>
    <row r="680" ht="14.25" customHeight="1" spans="1:24">
      <c r="A680" s="10" t="s">
        <v>707</v>
      </c>
      <c r="B680" s="11">
        <v>1.505</v>
      </c>
      <c r="C680" s="11">
        <v>1.252</v>
      </c>
      <c r="D680" s="11">
        <v>1</v>
      </c>
      <c r="E680" s="11">
        <v>251</v>
      </c>
      <c r="F680" s="11">
        <v>11</v>
      </c>
      <c r="G680" s="11">
        <v>22</v>
      </c>
      <c r="H680" s="5">
        <f t="shared" si="0"/>
        <v>251.189444444444</v>
      </c>
      <c r="I680" s="11">
        <v>89</v>
      </c>
      <c r="J680" s="11">
        <v>11</v>
      </c>
      <c r="K680" s="11">
        <v>55</v>
      </c>
      <c r="L680" s="5">
        <f t="shared" si="1"/>
        <v>89.1986111111111</v>
      </c>
      <c r="M680" s="5">
        <f t="shared" si="28"/>
        <v>50.4901211947052</v>
      </c>
      <c r="N680" s="5">
        <f t="shared" si="29"/>
        <v>0.706245054206434</v>
      </c>
      <c r="O680">
        <v>1.5</v>
      </c>
      <c r="P680">
        <v>1519.236</v>
      </c>
      <c r="Q680" s="5">
        <f t="shared" si="17"/>
        <v>1520.19024505421</v>
      </c>
      <c r="U680">
        <v>324.3597222</v>
      </c>
      <c r="W680" s="29">
        <f t="shared" si="50"/>
        <v>355605.589312503</v>
      </c>
      <c r="X680" s="29">
        <f t="shared" si="51"/>
        <v>355751.956</v>
      </c>
    </row>
    <row r="681" ht="14.25" customHeight="1" spans="1:24">
      <c r="A681" s="10" t="s">
        <v>708</v>
      </c>
      <c r="B681" s="12">
        <v>1.06</v>
      </c>
      <c r="C681" s="12">
        <v>1.03</v>
      </c>
      <c r="D681" s="12">
        <v>1</v>
      </c>
      <c r="E681">
        <v>99</v>
      </c>
      <c r="F681">
        <v>6</v>
      </c>
      <c r="G681">
        <v>33</v>
      </c>
      <c r="H681" s="5">
        <f t="shared" si="0"/>
        <v>99.1091666666667</v>
      </c>
      <c r="I681">
        <v>109</v>
      </c>
      <c r="J681">
        <v>16</v>
      </c>
      <c r="K681">
        <v>11</v>
      </c>
      <c r="L681" s="5">
        <f t="shared" si="1"/>
        <v>109.269722222222</v>
      </c>
      <c r="M681" s="5">
        <f t="shared" si="28"/>
        <v>5.34653823090155</v>
      </c>
      <c r="N681" s="5">
        <f t="shared" si="29"/>
        <v>-1.86915979277253</v>
      </c>
      <c r="O681">
        <v>1.5</v>
      </c>
      <c r="P681">
        <v>1519.236</v>
      </c>
      <c r="Q681" s="5">
        <f t="shared" si="17"/>
        <v>1517.83684020723</v>
      </c>
      <c r="U681">
        <v>325.3597222</v>
      </c>
      <c r="W681" s="29">
        <f t="shared" si="50"/>
        <v>355695.620144222</v>
      </c>
      <c r="X681" s="29">
        <f t="shared" si="51"/>
        <v>355751.956</v>
      </c>
    </row>
    <row r="682" ht="14.25" customHeight="1" spans="1:24">
      <c r="A682" s="10" t="s">
        <v>709</v>
      </c>
      <c r="B682">
        <v>1.056</v>
      </c>
      <c r="C682">
        <v>1.028</v>
      </c>
      <c r="D682">
        <v>1</v>
      </c>
      <c r="E682">
        <v>159</v>
      </c>
      <c r="F682">
        <v>6</v>
      </c>
      <c r="G682">
        <v>51</v>
      </c>
      <c r="H682" s="5">
        <f t="shared" si="0"/>
        <v>159.114166666667</v>
      </c>
      <c r="I682">
        <v>106</v>
      </c>
      <c r="J682">
        <v>11</v>
      </c>
      <c r="K682">
        <v>38</v>
      </c>
      <c r="L682" s="5">
        <f t="shared" si="1"/>
        <v>106.193888888889</v>
      </c>
      <c r="M682" s="5">
        <f t="shared" si="28"/>
        <v>5.16443818184436</v>
      </c>
      <c r="N682" s="5">
        <f t="shared" si="29"/>
        <v>-1.49981068279852</v>
      </c>
      <c r="O682">
        <v>1.5</v>
      </c>
      <c r="P682">
        <v>1519.236</v>
      </c>
      <c r="Q682" s="5">
        <f t="shared" si="17"/>
        <v>1518.2081893172</v>
      </c>
      <c r="U682">
        <v>326.3597222</v>
      </c>
      <c r="W682" s="29">
        <f t="shared" si="50"/>
        <v>355663.810420999</v>
      </c>
      <c r="X682" s="29">
        <f t="shared" si="51"/>
        <v>355751.956</v>
      </c>
    </row>
    <row r="683" ht="14.25" customHeight="1" spans="1:24">
      <c r="A683" s="10" t="s">
        <v>710</v>
      </c>
      <c r="B683">
        <v>1.12</v>
      </c>
      <c r="C683">
        <v>1.06</v>
      </c>
      <c r="D683">
        <v>1</v>
      </c>
      <c r="E683">
        <v>197</v>
      </c>
      <c r="F683">
        <v>59</v>
      </c>
      <c r="G683">
        <v>0</v>
      </c>
      <c r="H683" s="5">
        <f t="shared" si="0"/>
        <v>197.983333333333</v>
      </c>
      <c r="I683">
        <v>92</v>
      </c>
      <c r="J683">
        <v>39</v>
      </c>
      <c r="K683">
        <v>2</v>
      </c>
      <c r="L683" s="5">
        <f t="shared" si="1"/>
        <v>92.6505555555556</v>
      </c>
      <c r="M683" s="5">
        <f t="shared" si="28"/>
        <v>11.9743374401782</v>
      </c>
      <c r="N683" s="5">
        <f t="shared" si="29"/>
        <v>-0.554339382404661</v>
      </c>
      <c r="O683">
        <v>1.5</v>
      </c>
      <c r="P683">
        <v>1519.236</v>
      </c>
      <c r="Q683" s="5">
        <f t="shared" si="17"/>
        <v>1519.1216606176</v>
      </c>
      <c r="U683">
        <v>327.3597222</v>
      </c>
      <c r="W683" s="29">
        <f t="shared" si="50"/>
        <v>355645.171139422</v>
      </c>
      <c r="X683" s="29">
        <f t="shared" si="51"/>
        <v>355751.956</v>
      </c>
    </row>
    <row r="684" ht="14.25" customHeight="1" spans="1:1">
      <c r="A684" s="30"/>
    </row>
    <row r="685" ht="14.25" customHeight="1" spans="1:1">
      <c r="A685" s="31"/>
    </row>
    <row r="686" ht="14.25" customHeight="1" spans="1:1">
      <c r="A686" s="31"/>
    </row>
    <row r="687" ht="14.25" customHeight="1" spans="1:1">
      <c r="A687" s="31"/>
    </row>
    <row r="688" ht="14.25" customHeight="1" spans="1:1">
      <c r="A688" s="31"/>
    </row>
    <row r="689" ht="14.25" customHeight="1" spans="1:1">
      <c r="A689" s="31"/>
    </row>
    <row r="690" ht="14.25" customHeight="1" spans="1:1">
      <c r="A690" s="31"/>
    </row>
    <row r="691" ht="14.25" customHeight="1" spans="1:1">
      <c r="A691" s="31"/>
    </row>
    <row r="692" ht="14.25" customHeight="1" spans="1:1">
      <c r="A692" s="31"/>
    </row>
    <row r="693" ht="14.25" customHeight="1" spans="1:1">
      <c r="A693" s="31"/>
    </row>
    <row r="694" ht="14.25" customHeight="1" spans="1:1">
      <c r="A694" s="31"/>
    </row>
    <row r="695" ht="14.25" customHeight="1" spans="1:1">
      <c r="A695" s="31"/>
    </row>
    <row r="696" ht="14.25" customHeight="1" spans="1:1">
      <c r="A696" s="31"/>
    </row>
    <row r="697" ht="14.25" customHeight="1" spans="1:1">
      <c r="A697" s="31"/>
    </row>
    <row r="698" ht="14.25" customHeight="1" spans="1:1">
      <c r="A698" s="31"/>
    </row>
    <row r="699" ht="14.25" customHeight="1" spans="1:1">
      <c r="A699" s="31"/>
    </row>
    <row r="700" ht="14.25" customHeight="1" spans="1:1">
      <c r="A700" s="31"/>
    </row>
    <row r="701" ht="14.25" customHeight="1" spans="1:1">
      <c r="A701" s="31"/>
    </row>
    <row r="702" ht="14.25" customHeight="1" spans="1:1">
      <c r="A702" s="31"/>
    </row>
    <row r="703" ht="14.25" customHeight="1" spans="1:1">
      <c r="A703" s="31"/>
    </row>
    <row r="704" ht="14.25" customHeight="1" spans="1:1">
      <c r="A704" s="31"/>
    </row>
    <row r="705" ht="14.25" customHeight="1" spans="1:1">
      <c r="A705" s="31"/>
    </row>
    <row r="706" ht="14.25" customHeight="1" spans="1:1">
      <c r="A706" s="31"/>
    </row>
    <row r="707" ht="14.25" customHeight="1" spans="1:1">
      <c r="A707" s="31"/>
    </row>
    <row r="708" ht="14.25" customHeight="1" spans="1:1">
      <c r="A708" s="31"/>
    </row>
    <row r="709" ht="14.25" customHeight="1" spans="1:1">
      <c r="A709" s="31"/>
    </row>
    <row r="710" ht="14.25" customHeight="1" spans="1:1">
      <c r="A710" s="31"/>
    </row>
    <row r="711" ht="14.25" customHeight="1" spans="1:1">
      <c r="A711" s="31"/>
    </row>
    <row r="712" ht="14.25" customHeight="1" spans="1:1">
      <c r="A712" s="31"/>
    </row>
    <row r="713" ht="14.25" customHeight="1" spans="1:1">
      <c r="A713" s="31"/>
    </row>
    <row r="714" ht="14.25" customHeight="1" spans="1:1">
      <c r="A714" s="31"/>
    </row>
    <row r="715" ht="14.25" customHeight="1" spans="1:1">
      <c r="A715" s="31"/>
    </row>
    <row r="716" ht="14.25" customHeight="1" spans="1:1">
      <c r="A716" s="31"/>
    </row>
    <row r="717" ht="14.25" customHeight="1" spans="1:1">
      <c r="A717" s="31"/>
    </row>
    <row r="718" ht="14.25" customHeight="1" spans="1:1">
      <c r="A718" s="31"/>
    </row>
    <row r="719" ht="14.25" customHeight="1" spans="1:1">
      <c r="A719" s="31"/>
    </row>
    <row r="720" ht="14.25" customHeight="1" spans="1:1">
      <c r="A720" s="31"/>
    </row>
    <row r="721" ht="14.25" customHeight="1" spans="1:1">
      <c r="A721" s="31"/>
    </row>
    <row r="722" ht="14.25" customHeight="1" spans="1:1">
      <c r="A722" s="31"/>
    </row>
    <row r="723" ht="14.25" customHeight="1" spans="1:1">
      <c r="A723" s="31"/>
    </row>
    <row r="724" ht="14.25" customHeight="1" spans="1:1">
      <c r="A724" s="31"/>
    </row>
    <row r="725" ht="14.25" customHeight="1" spans="1:1">
      <c r="A725" s="31"/>
    </row>
    <row r="726" ht="14.25" customHeight="1" spans="1:1">
      <c r="A726" s="31"/>
    </row>
    <row r="727" ht="14.25" customHeight="1" spans="1:1">
      <c r="A727" s="31"/>
    </row>
    <row r="728" ht="14.25" customHeight="1" spans="1:1">
      <c r="A728" s="26"/>
    </row>
    <row r="729" ht="14.25" customHeight="1" spans="1:1">
      <c r="A729" s="26"/>
    </row>
    <row r="730" ht="14.25" customHeight="1" spans="1:1">
      <c r="A730" s="26"/>
    </row>
    <row r="731" ht="14.25" customHeight="1" spans="1:1">
      <c r="A731" s="26"/>
    </row>
    <row r="732" ht="14.25" customHeight="1" spans="1:1">
      <c r="A732" s="26"/>
    </row>
    <row r="733" ht="14.25" customHeight="1" spans="1:1">
      <c r="A733" s="26"/>
    </row>
    <row r="734" ht="14.25" customHeight="1" spans="1:1">
      <c r="A734" s="26"/>
    </row>
    <row r="735" ht="14.25" customHeight="1" spans="1:1">
      <c r="A735" s="26"/>
    </row>
    <row r="736" ht="14.25" customHeight="1" spans="1:1">
      <c r="A736" s="26"/>
    </row>
    <row r="737" ht="14.25" customHeight="1" spans="1:1">
      <c r="A737" s="26"/>
    </row>
    <row r="738" ht="14.25" customHeight="1" spans="1:1">
      <c r="A738" s="26"/>
    </row>
    <row r="739" ht="14.25" customHeight="1" spans="1:1">
      <c r="A739" s="26"/>
    </row>
    <row r="740" ht="14.25" customHeight="1" spans="1:1">
      <c r="A740" s="26"/>
    </row>
    <row r="741" ht="14.25" customHeight="1" spans="1:1">
      <c r="A741" s="26"/>
    </row>
    <row r="742" ht="14.25" customHeight="1" spans="1:1">
      <c r="A742" s="26"/>
    </row>
    <row r="743" ht="14.25" customHeight="1" spans="1:1">
      <c r="A743" s="26"/>
    </row>
    <row r="744" ht="14.25" customHeight="1" spans="1:1">
      <c r="A744" s="26"/>
    </row>
    <row r="745" ht="14.25" customHeight="1" spans="1:1">
      <c r="A745" s="26"/>
    </row>
    <row r="746" ht="14.25" customHeight="1" spans="1:1">
      <c r="A746" s="26"/>
    </row>
    <row r="747" ht="14.25" customHeight="1" spans="1:1">
      <c r="A747" s="26"/>
    </row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S1:T1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manojghartimagar999@gmail.com</dc:creator>
  <cp:lastModifiedBy>USER</cp:lastModifiedBy>
  <dcterms:created xsi:type="dcterms:W3CDTF">2025-03-06T03:06:00Z</dcterms:created>
  <dcterms:modified xsi:type="dcterms:W3CDTF">2025-03-09T05:54:41Z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8F6367F331824770A68D523ED9D303BD_13</vt:lpwstr>
  </property>
  <property fmtid="{D5CDD505-2E9C-101B-9397-08002B2CF9AE}" pid="3" name="KSOProductBuildVer">
    <vt:lpwstr>1033-12.2.0.19805</vt:lpwstr>
  </property>
</Properties>
</file>